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UNI-Mannheim\Documents\Test Scripts\2018-02-05 Evaluate Unconstrained search\results\"/>
    </mc:Choice>
  </mc:AlternateContent>
  <bookViews>
    <workbookView xWindow="0" yWindow="0" windowWidth="25125" windowHeight="12435" firstSheet="8" activeTab="12"/>
  </bookViews>
  <sheets>
    <sheet name="Unconstrained Search Scores" sheetId="1" r:id="rId1"/>
    <sheet name="Correlation Matrices" sheetId="30" r:id="rId2"/>
    <sheet name="Tables to extend" sheetId="32" r:id="rId3"/>
    <sheet name="ExtendedTable0,6 - Airports" sheetId="33" r:id="rId4"/>
    <sheet name="ExtendedTable0,6 - Lakes" sheetId="34" r:id="rId5"/>
    <sheet name="ExtendedTable0,6 - Journals" sheetId="35" r:id="rId6"/>
    <sheet name="ExtendedTable0,6 - Museums" sheetId="36" r:id="rId7"/>
    <sheet name="ExtendedTable0,6 - Mountains" sheetId="37" r:id="rId8"/>
    <sheet name="ExtendedTable0,6 - Parties" sheetId="38" r:id="rId9"/>
    <sheet name="ExtendedTable0,8 - Lakes" sheetId="39" r:id="rId10"/>
    <sheet name="ExtendedTable0,8 - Museums" sheetId="40" r:id="rId11"/>
    <sheet name="ExtendedTable0,8 - Mountains" sheetId="41" r:id="rId12"/>
    <sheet name="ExtendedTable0,8 - Parties" sheetId="42" r:id="rId13"/>
    <sheet name=" " sheetId="43" r:id="rId14"/>
    <sheet name="Additional Data - Lakes1" sheetId="19" r:id="rId15"/>
    <sheet name="Additional Data - Lakes2" sheetId="20" r:id="rId16"/>
    <sheet name="Additional Data - Lakes3" sheetId="21" r:id="rId17"/>
    <sheet name="Additional Data - Lakes4" sheetId="22" r:id="rId18"/>
    <sheet name="Additional Data - Museums1" sheetId="23" r:id="rId19"/>
    <sheet name="Additional Data - Museums2" sheetId="24" r:id="rId20"/>
    <sheet name="Additional Data - Museums3" sheetId="25" r:id="rId21"/>
    <sheet name="Additional Data - Fells" sheetId="27" r:id="rId22"/>
    <sheet name="Additional Data - Fells2" sheetId="28" r:id="rId23"/>
    <sheet name="Additional Data - Fells3" sheetId="29" r:id="rId24"/>
  </sheets>
  <definedNames>
    <definedName name="_xlnm.Print_Area" localSheetId="1">'Correlation Matrices'!$B$71:$L$146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8" i="42" l="1"/>
  <c r="D17" i="1" l="1"/>
  <c r="C47" i="42" l="1"/>
  <c r="C46" i="42"/>
  <c r="C17" i="1" l="1"/>
  <c r="E17" i="1"/>
  <c r="F17" i="1"/>
  <c r="G3" i="25" l="1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97" i="25"/>
  <c r="G98" i="25"/>
  <c r="G99" i="25"/>
  <c r="G100" i="25"/>
  <c r="G101" i="25"/>
  <c r="G102" i="25"/>
  <c r="G103" i="25"/>
  <c r="G104" i="25"/>
  <c r="G105" i="25"/>
  <c r="G106" i="25"/>
  <c r="G107" i="25"/>
  <c r="G108" i="25"/>
  <c r="G109" i="25"/>
  <c r="G110" i="25"/>
  <c r="G111" i="25"/>
  <c r="G112" i="25"/>
  <c r="G113" i="25"/>
  <c r="G114" i="25"/>
  <c r="G115" i="25"/>
  <c r="G116" i="25"/>
  <c r="G117" i="25"/>
  <c r="G2" i="25"/>
  <c r="G3" i="23"/>
  <c r="G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2" i="23"/>
  <c r="K3" i="20"/>
  <c r="K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K102" i="20"/>
  <c r="K103" i="20"/>
  <c r="K104" i="20"/>
  <c r="K105" i="20"/>
  <c r="K2" i="20"/>
  <c r="J3" i="20"/>
  <c r="J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2" i="20"/>
  <c r="O3" i="20"/>
  <c r="O4" i="20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81" i="20"/>
  <c r="O82" i="20"/>
  <c r="O83" i="20"/>
  <c r="O84" i="20"/>
  <c r="O85" i="20"/>
  <c r="O86" i="20"/>
  <c r="O87" i="20"/>
  <c r="O88" i="20"/>
  <c r="O89" i="20"/>
  <c r="O90" i="20"/>
  <c r="O91" i="20"/>
  <c r="O92" i="20"/>
  <c r="O93" i="20"/>
  <c r="O94" i="20"/>
  <c r="O95" i="20"/>
  <c r="O96" i="20"/>
  <c r="O97" i="20"/>
  <c r="O98" i="20"/>
  <c r="O99" i="20"/>
  <c r="O100" i="20"/>
  <c r="O101" i="20"/>
  <c r="O102" i="20"/>
  <c r="O103" i="20"/>
  <c r="O104" i="20"/>
  <c r="O105" i="20"/>
  <c r="O2" i="20"/>
  <c r="P3" i="20"/>
  <c r="P4" i="20"/>
  <c r="P5" i="20"/>
  <c r="P6" i="20"/>
  <c r="P7" i="20"/>
  <c r="P8" i="20"/>
  <c r="P9" i="20"/>
  <c r="P10" i="20"/>
  <c r="P11" i="20"/>
  <c r="P12" i="20"/>
  <c r="P13" i="20"/>
  <c r="P14" i="20"/>
  <c r="P15" i="20"/>
  <c r="P16" i="20"/>
  <c r="P17" i="20"/>
  <c r="P18" i="20"/>
  <c r="P19" i="20"/>
  <c r="P20" i="20"/>
  <c r="P21" i="20"/>
  <c r="P22" i="20"/>
  <c r="P23" i="20"/>
  <c r="P24" i="20"/>
  <c r="P25" i="20"/>
  <c r="P26" i="20"/>
  <c r="P27" i="20"/>
  <c r="P28" i="20"/>
  <c r="P29" i="20"/>
  <c r="P30" i="20"/>
  <c r="P31" i="20"/>
  <c r="P32" i="20"/>
  <c r="P33" i="20"/>
  <c r="P34" i="20"/>
  <c r="P35" i="20"/>
  <c r="P36" i="20"/>
  <c r="P37" i="20"/>
  <c r="P38" i="20"/>
  <c r="P39" i="20"/>
  <c r="P40" i="20"/>
  <c r="P41" i="20"/>
  <c r="P42" i="20"/>
  <c r="P43" i="20"/>
  <c r="P44" i="20"/>
  <c r="P45" i="20"/>
  <c r="P46" i="20"/>
  <c r="P47" i="20"/>
  <c r="P48" i="20"/>
  <c r="P49" i="20"/>
  <c r="P50" i="20"/>
  <c r="P51" i="20"/>
  <c r="P52" i="20"/>
  <c r="P53" i="20"/>
  <c r="P54" i="20"/>
  <c r="P55" i="20"/>
  <c r="P56" i="20"/>
  <c r="P57" i="20"/>
  <c r="P58" i="20"/>
  <c r="P59" i="20"/>
  <c r="P60" i="20"/>
  <c r="P61" i="20"/>
  <c r="P62" i="20"/>
  <c r="P63" i="20"/>
  <c r="P64" i="20"/>
  <c r="P65" i="20"/>
  <c r="P66" i="20"/>
  <c r="P67" i="20"/>
  <c r="P68" i="20"/>
  <c r="P69" i="20"/>
  <c r="P70" i="20"/>
  <c r="P71" i="20"/>
  <c r="P72" i="20"/>
  <c r="P73" i="20"/>
  <c r="P74" i="20"/>
  <c r="P75" i="20"/>
  <c r="P76" i="20"/>
  <c r="P77" i="20"/>
  <c r="P78" i="20"/>
  <c r="P79" i="20"/>
  <c r="P80" i="20"/>
  <c r="P81" i="20"/>
  <c r="P82" i="20"/>
  <c r="P83" i="20"/>
  <c r="P84" i="20"/>
  <c r="P85" i="20"/>
  <c r="P86" i="20"/>
  <c r="P87" i="20"/>
  <c r="P88" i="20"/>
  <c r="P89" i="20"/>
  <c r="P90" i="20"/>
  <c r="P91" i="20"/>
  <c r="P92" i="20"/>
  <c r="P93" i="20"/>
  <c r="P94" i="20"/>
  <c r="P95" i="20"/>
  <c r="P96" i="20"/>
  <c r="P97" i="20"/>
  <c r="P98" i="20"/>
  <c r="P99" i="20"/>
  <c r="P100" i="20"/>
  <c r="P101" i="20"/>
  <c r="P102" i="20"/>
  <c r="P103" i="20"/>
  <c r="P104" i="20"/>
  <c r="P105" i="20"/>
  <c r="P2" i="20"/>
  <c r="E3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" i="24"/>
  <c r="C3" i="24"/>
  <c r="C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" i="24"/>
  <c r="H17" i="1" l="1"/>
  <c r="I17" i="1"/>
  <c r="G17" i="1"/>
</calcChain>
</file>

<file path=xl/sharedStrings.xml><?xml version="1.0" encoding="utf-8"?>
<sst xmlns="http://schemas.openxmlformats.org/spreadsheetml/2006/main" count="6324" uniqueCount="2257">
  <si>
    <t>Average</t>
  </si>
  <si>
    <t>Airports</t>
  </si>
  <si>
    <t>Currencies</t>
  </si>
  <si>
    <t>Lakes</t>
  </si>
  <si>
    <t>Animals</t>
  </si>
  <si>
    <t>Sky Scrapers</t>
  </si>
  <si>
    <t>Roman Emperors</t>
  </si>
  <si>
    <t>Hospitals</t>
  </si>
  <si>
    <t>Journals</t>
  </si>
  <si>
    <t>Museums</t>
  </si>
  <si>
    <t>Mountains</t>
  </si>
  <si>
    <t>Airlines</t>
  </si>
  <si>
    <t>American Mountains</t>
  </si>
  <si>
    <t>Irish Political Parties</t>
  </si>
  <si>
    <t>1.0</t>
  </si>
  <si>
    <t>Table</t>
  </si>
  <si>
    <t>Correlation Column</t>
  </si>
  <si>
    <t>City</t>
  </si>
  <si>
    <t>#(Correlating Columns)</t>
  </si>
  <si>
    <t>Correlating Column1</t>
  </si>
  <si>
    <t>Correlating Column2</t>
  </si>
  <si>
    <t>Correlating Column3</t>
  </si>
  <si>
    <t>Correlating Column4</t>
  </si>
  <si>
    <t>Correlating Column5</t>
  </si>
  <si>
    <t>Correlating Column6</t>
  </si>
  <si>
    <t>Correlating Column7</t>
  </si>
  <si>
    <t>Correlating Column8</t>
  </si>
  <si>
    <t>Correlating Column9</t>
  </si>
  <si>
    <t>Airport Name</t>
  </si>
  <si>
    <t>% Change</t>
  </si>
  <si>
    <t>Total Passengers</t>
  </si>
  <si>
    <t>Rank</t>
  </si>
  <si>
    <t>Country</t>
  </si>
  <si>
    <t>Net Area (square kilometres)</t>
  </si>
  <si>
    <t>Total Area (square kilometres)</t>
  </si>
  <si>
    <t>Max.-Tiefe-(m)</t>
  </si>
  <si>
    <t>Rang</t>
  </si>
  <si>
    <t>LÃ¤nge-(km)</t>
  </si>
  <si>
    <t>Volumen-(km?)</t>
  </si>
  <si>
    <t>#</t>
  </si>
  <si>
    <t>Score *</t>
  </si>
  <si>
    <t>Tendenz</t>
  </si>
  <si>
    <t>% Change 09-10</t>
  </si>
  <si>
    <t>Visitor 2009</t>
  </si>
  <si>
    <t>Visitor 2010</t>
  </si>
  <si>
    <t>Height (Ft)??</t>
  </si>
  <si>
    <t>Height (m)</t>
  </si>
  <si>
    <t>No.</t>
  </si>
  <si>
    <t>Funding received under the Party Leaders Allowance for 2005 ?</t>
  </si>
  <si>
    <t>Total Exchequer Funding for 2005 ?</t>
  </si>
  <si>
    <t>Overall total funding available for spending in 2002 ?</t>
  </si>
  <si>
    <t>Total expenditure in 2002, if any, of funding received ?</t>
  </si>
  <si>
    <t>Total funding received ?</t>
  </si>
  <si>
    <t>Funding received under the Party Leaders Allowance for 2006 ?</t>
  </si>
  <si>
    <t>Total Exchequer Funding for 2006 ?</t>
  </si>
  <si>
    <t>Overall total Exchequer funding for 2002 ?</t>
  </si>
  <si>
    <t>Total funding received under the Party Leaders Allowance for 2002 ?</t>
  </si>
  <si>
    <t>Portland International Airport</t>
  </si>
  <si>
    <t>Lehigh Valley International Airport</t>
  </si>
  <si>
    <t>Harrisburg International Airport</t>
  </si>
  <si>
    <t>Philadelphia International Airport</t>
  </si>
  <si>
    <t>Philadelphia</t>
  </si>
  <si>
    <t>Pittsburgh International Airport</t>
  </si>
  <si>
    <t>Pittsburgh</t>
  </si>
  <si>
    <t>T.F. Green Airport</t>
  </si>
  <si>
    <t>Charleston International Airport</t>
  </si>
  <si>
    <t>Columbia Metropolitan Airport</t>
  </si>
  <si>
    <t>Greenville/Spartanburg Airport</t>
  </si>
  <si>
    <t>Honolulu International Airport</t>
  </si>
  <si>
    <t>Hilo International Airport</t>
  </si>
  <si>
    <t>Hobby Airport</t>
  </si>
  <si>
    <t>Houston</t>
  </si>
  <si>
    <t>Bush Intercontinental Airport</t>
  </si>
  <si>
    <t>Indianapolis International Airport</t>
  </si>
  <si>
    <t>Indianapolis</t>
  </si>
  <si>
    <t>Huntsville International Airport</t>
  </si>
  <si>
    <t>Macarthur Airport</t>
  </si>
  <si>
    <t>Juneau International Airport</t>
  </si>
  <si>
    <t>San Antonio International Airport</t>
  </si>
  <si>
    <t>San Diego International Airport</t>
  </si>
  <si>
    <t>San Francisco International Airport</t>
  </si>
  <si>
    <t>San Francisco</t>
  </si>
  <si>
    <t>San Jose International Airport</t>
  </si>
  <si>
    <t>Ronald Reagan Washington National Airport</t>
  </si>
  <si>
    <t>Washington</t>
  </si>
  <si>
    <t>Sacramento International Airport</t>
  </si>
  <si>
    <t>Saipan International Airport</t>
  </si>
  <si>
    <t>Salt Lake City International Airport</t>
  </si>
  <si>
    <t>Santa Barbara Airport</t>
  </si>
  <si>
    <t>Sarasota-Bradenton International Airport</t>
  </si>
  <si>
    <t>Amarillo International Airport</t>
  </si>
  <si>
    <t>Jackson-Evers International Airport</t>
  </si>
  <si>
    <t>Northwest Arkansas Regional Airport</t>
  </si>
  <si>
    <t>Albuquerque International Sunport</t>
  </si>
  <si>
    <t>Anchorage International Airport</t>
  </si>
  <si>
    <t>Manchester Airport</t>
  </si>
  <si>
    <t>Dane County Regional Airport</t>
  </si>
  <si>
    <t>Blue Grass Airport</t>
  </si>
  <si>
    <t>Wichita Mid-Continent Airport</t>
  </si>
  <si>
    <t>Denver International Airport</t>
  </si>
  <si>
    <t>Denver</t>
  </si>
  <si>
    <t>Midland International Airport</t>
  </si>
  <si>
    <t>Baton Rouge International Airport</t>
  </si>
  <si>
    <t>Atlantic City International Airport</t>
  </si>
  <si>
    <t>Detroit Metro Airport</t>
  </si>
  <si>
    <t>Detroit</t>
  </si>
  <si>
    <t>Newport News/Williamsburg International Airport</t>
  </si>
  <si>
    <t>Lubbock International Airport</t>
  </si>
  <si>
    <t>Valley International Airport</t>
  </si>
  <si>
    <t>Norfolk International Airport</t>
  </si>
  <si>
    <t>Richmond International Airport</t>
  </si>
  <si>
    <t>Richmond</t>
  </si>
  <si>
    <t>Fairbanks International Airport</t>
  </si>
  <si>
    <t>El Paso International Airport</t>
  </si>
  <si>
    <t>Des Moines International Airport</t>
  </si>
  <si>
    <t>Fort Lauderdale Hollywood International Airport</t>
  </si>
  <si>
    <t>Bishop International Airport</t>
  </si>
  <si>
    <t>Kahului Airport</t>
  </si>
  <si>
    <t>Guam International Airport</t>
  </si>
  <si>
    <t>Savannah/Hilton Head International Airport</t>
  </si>
  <si>
    <t>Atlanta International Airport</t>
  </si>
  <si>
    <t>Palm Beach International Airport</t>
  </si>
  <si>
    <t>Lihue Airport</t>
  </si>
  <si>
    <t>Kona International Airport</t>
  </si>
  <si>
    <t>Austin Straubel International Airport</t>
  </si>
  <si>
    <t>Cedar Rapids Eastern Iowa Airport</t>
  </si>
  <si>
    <t>Boise Airport</t>
  </si>
  <si>
    <t>New Orleans International Airport</t>
  </si>
  <si>
    <t>Louisville International Airport</t>
  </si>
  <si>
    <t>Boston Logan International Airport</t>
  </si>
  <si>
    <t>Boston</t>
  </si>
  <si>
    <t>Portland International Jetport</t>
  </si>
  <si>
    <t>Gerald R. Ford International Airport</t>
  </si>
  <si>
    <t>Chicago Oï¿½Hare International Airport</t>
  </si>
  <si>
    <t>Chicago</t>
  </si>
  <si>
    <t>Cincinnati/Northern Kentucky International Airport</t>
  </si>
  <si>
    <t>Cleveland Hopkins International Airport</t>
  </si>
  <si>
    <t>Cleveland</t>
  </si>
  <si>
    <t>Dallas Love Field</t>
  </si>
  <si>
    <t>Dallas</t>
  </si>
  <si>
    <t>Dallas/Fort Worth International Airport</t>
  </si>
  <si>
    <t>John F. Kennedy International Airport</t>
  </si>
  <si>
    <t>Memphis Airport</t>
  </si>
  <si>
    <t>Mcghee Tyson Airport</t>
  </si>
  <si>
    <t>Nashville International Airport</t>
  </si>
  <si>
    <t>Piedmont Triad International Airport</t>
  </si>
  <si>
    <t>Akron-Canton Airport</t>
  </si>
  <si>
    <t>Colorado Springs Airport</t>
  </si>
  <si>
    <t>Reno-Tahoe International Airport</t>
  </si>
  <si>
    <t>Albany International Airport</t>
  </si>
  <si>
    <t>Buffalo Niagara International Airport</t>
  </si>
  <si>
    <t>Newark Liberty International Airport</t>
  </si>
  <si>
    <t>Mccarran International Airport</t>
  </si>
  <si>
    <t>Chicago Midway Airport</t>
  </si>
  <si>
    <t>Long Beach Airport</t>
  </si>
  <si>
    <t>Los Angeles International Airport</t>
  </si>
  <si>
    <t>Los Angeles</t>
  </si>
  <si>
    <t>Bradley International Airport</t>
  </si>
  <si>
    <t>Washington Dulles International Airport</t>
  </si>
  <si>
    <t>Luis Munoz Marin International Airport</t>
  </si>
  <si>
    <t>Grand Canyon National Park Airport</t>
  </si>
  <si>
    <t>Southwest Florida International Airport</t>
  </si>
  <si>
    <t>Fresno Air Terminal</t>
  </si>
  <si>
    <t>Gulfport-Biloxi International Airport</t>
  </si>
  <si>
    <t>Miami International Airport</t>
  </si>
  <si>
    <t>Sydney Airport</t>
  </si>
  <si>
    <t>Barcelona Airport</t>
  </si>
  <si>
    <t>Jacksonville International Airport</t>
  </si>
  <si>
    <t>Palm Springs International Airport</t>
  </si>
  <si>
    <t>Orlando International Airport</t>
  </si>
  <si>
    <t>Eppley Airfield</t>
  </si>
  <si>
    <t>Will Rogers World Airport</t>
  </si>
  <si>
    <t>John Wayne Airport</t>
  </si>
  <si>
    <t>Ontario International Airport</t>
  </si>
  <si>
    <t>Ontario</t>
  </si>
  <si>
    <t>Tampa International Airport</t>
  </si>
  <si>
    <t>Burlington International Airport</t>
  </si>
  <si>
    <t>Charlotte/Douglas International Airport</t>
  </si>
  <si>
    <t>Phoenix Sky Harbor International Airport</t>
  </si>
  <si>
    <t>Tucson International Airport</t>
  </si>
  <si>
    <t>Seattle/Tacoma International Airport</t>
  </si>
  <si>
    <t>La Guardia Airport</t>
  </si>
  <si>
    <t>Lambert-St. Louis International Airport</t>
  </si>
  <si>
    <t>Kansas City International Airport</t>
  </si>
  <si>
    <t>Kansas City</t>
  </si>
  <si>
    <t>Westchester County Airport</t>
  </si>
  <si>
    <t>Tallahassee Regional Airport</t>
  </si>
  <si>
    <t>Corpus Christi International Airport</t>
  </si>
  <si>
    <t>Pensacola Regional Airport</t>
  </si>
  <si>
    <t>Cyril E King Airport</t>
  </si>
  <si>
    <t>Baltimore/Washington International Airport</t>
  </si>
  <si>
    <t>Burbank Bob Hope Airport</t>
  </si>
  <si>
    <t>General Mitchell International Airport</t>
  </si>
  <si>
    <t>Milwaukee</t>
  </si>
  <si>
    <t>Dayton International Airport</t>
  </si>
  <si>
    <t>Tulsa International Airport</t>
  </si>
  <si>
    <t>Spokane International Airport</t>
  </si>
  <si>
    <t>Syracuse Hancock International Airport</t>
  </si>
  <si>
    <t>South Bend Regional Airport</t>
  </si>
  <si>
    <t>Oakland International Airport</t>
  </si>
  <si>
    <t>Greater Rochester International Airport</t>
  </si>
  <si>
    <t>St. Petersburg-Clearwater International Airport</t>
  </si>
  <si>
    <t>Raleigh-Durham International Airport</t>
  </si>
  <si>
    <t>Austin-Bergstrom International Airport</t>
  </si>
  <si>
    <t>Port Columbus International Airport</t>
  </si>
  <si>
    <t>Billings Logan International Airport</t>
  </si>
  <si>
    <t>Quad City International Airport</t>
  </si>
  <si>
    <t>Orlando Sanford International Airport</t>
  </si>
  <si>
    <t>Birmingham International Airport</t>
  </si>
  <si>
    <t>Birmingham</t>
  </si>
  <si>
    <t>Little Rock National Airport</t>
  </si>
  <si>
    <t>Fort Walton Beach Airport</t>
  </si>
  <si>
    <t>388.0</t>
  </si>
  <si>
    <t>950.0</t>
  </si>
  <si>
    <t>72.0</t>
  </si>
  <si>
    <t>978.0</t>
  </si>
  <si>
    <t>84.0</t>
  </si>
  <si>
    <t>108.0</t>
  </si>
  <si>
    <t>96.0</t>
  </si>
  <si>
    <t>100.0</t>
  </si>
  <si>
    <t>52.0</t>
  </si>
  <si>
    <t>36.0</t>
  </si>
  <si>
    <t>44.0</t>
  </si>
  <si>
    <t>12.0</t>
  </si>
  <si>
    <t>48.0</t>
  </si>
  <si>
    <t>31.0</t>
  </si>
  <si>
    <t>533.0</t>
  </si>
  <si>
    <t>32.0</t>
  </si>
  <si>
    <t>512.0</t>
  </si>
  <si>
    <t>524.0</t>
  </si>
  <si>
    <t>208.0</t>
  </si>
  <si>
    <t>508.0</t>
  </si>
  <si>
    <t>376.0</t>
  </si>
  <si>
    <t>710.0</t>
  </si>
  <si>
    <t>826.0</t>
  </si>
  <si>
    <t>756.0</t>
  </si>
  <si>
    <t>8.0</t>
  </si>
  <si>
    <t>364.0</t>
  </si>
  <si>
    <t>51.0</t>
  </si>
  <si>
    <t>50.0</t>
  </si>
  <si>
    <t>104.0</t>
  </si>
  <si>
    <t>24.0</t>
  </si>
  <si>
    <t>807.0</t>
  </si>
  <si>
    <t>446.0</t>
  </si>
  <si>
    <t>292.0</t>
  </si>
  <si>
    <t>450.0</t>
  </si>
  <si>
    <t>Brazil</t>
  </si>
  <si>
    <t>Japan</t>
  </si>
  <si>
    <t>Germany</t>
  </si>
  <si>
    <t>Singapore</t>
  </si>
  <si>
    <t>Canada</t>
  </si>
  <si>
    <t>Mexico</t>
  </si>
  <si>
    <t>Israel</t>
  </si>
  <si>
    <t>Greece</t>
  </si>
  <si>
    <t>Turkey</t>
  </si>
  <si>
    <t>United Kingdom</t>
  </si>
  <si>
    <t>China</t>
  </si>
  <si>
    <t>Lake</t>
  </si>
  <si>
    <t>Lake Biel</t>
  </si>
  <si>
    <t>Lake Erie</t>
  </si>
  <si>
    <t>12800.0</t>
  </si>
  <si>
    <t>64.0</t>
  </si>
  <si>
    <t>11.0</t>
  </si>
  <si>
    <t>Great Bear Lake</t>
  </si>
  <si>
    <t>Lake Michigan</t>
  </si>
  <si>
    <t>282.0</t>
  </si>
  <si>
    <t>5.0</t>
  </si>
  <si>
    <t>Lake Brienz</t>
  </si>
  <si>
    <t>Lake Constance</t>
  </si>
  <si>
    <t>Lake-of-the-Woods</t>
  </si>
  <si>
    <t>2458.0</t>
  </si>
  <si>
    <t>3150.0</t>
  </si>
  <si>
    <t>Chankasee</t>
  </si>
  <si>
    <t>35.0</t>
  </si>
  <si>
    <t>Lake-Nipigon</t>
  </si>
  <si>
    <t>4510.0</t>
  </si>
  <si>
    <t>4848.0</t>
  </si>
  <si>
    <t>165.0</t>
  </si>
  <si>
    <t>Lake St. Clair</t>
  </si>
  <si>
    <t>436.0</t>
  </si>
  <si>
    <t>490.0</t>
  </si>
  <si>
    <t>82.0</t>
  </si>
  <si>
    <t>94.0</t>
  </si>
  <si>
    <t>Lake Murten</t>
  </si>
  <si>
    <t>Lake Neuch?tel</t>
  </si>
  <si>
    <t>Lake Geneva</t>
  </si>
  <si>
    <t>Lake Lucerne</t>
  </si>
  <si>
    <t>Lake Lugano</t>
  </si>
  <si>
    <t>Lake Maggiore</t>
  </si>
  <si>
    <t>Greifensee</t>
  </si>
  <si>
    <t>Lake Ontario</t>
  </si>
  <si>
    <t>10000.0</t>
  </si>
  <si>
    <t>244.0</t>
  </si>
  <si>
    <t>13.0</t>
  </si>
  <si>
    <t>150.0</t>
  </si>
  <si>
    <t>46.0</t>
  </si>
  <si>
    <t>Lake Superior</t>
  </si>
  <si>
    <t>28700.0</t>
  </si>
  <si>
    <t>405.0</t>
  </si>
  <si>
    <t>2.0</t>
  </si>
  <si>
    <t>Lake Huron</t>
  </si>
  <si>
    <t>36000.0</t>
  </si>
  <si>
    <t>229.0</t>
  </si>
  <si>
    <t>4.0</t>
  </si>
  <si>
    <t>Lake Zug</t>
  </si>
  <si>
    <t>1000.0</t>
  </si>
  <si>
    <t>17.0</t>
  </si>
  <si>
    <t>Lac-Seul</t>
  </si>
  <si>
    <t>1373.0</t>
  </si>
  <si>
    <t>1657.0</t>
  </si>
  <si>
    <t>47.0</t>
  </si>
  <si>
    <t>75.0</t>
  </si>
  <si>
    <t>Lake Thun</t>
  </si>
  <si>
    <t>Walensee</t>
  </si>
  <si>
    <t>Lake Zurich</t>
  </si>
  <si>
    <t>121.0</t>
  </si>
  <si>
    <t>92.0</t>
  </si>
  <si>
    <t>P?ij?nne</t>
  </si>
  <si>
    <t>95.0</t>
  </si>
  <si>
    <t>98.0</t>
  </si>
  <si>
    <t>6.0</t>
  </si>
  <si>
    <t>3.0</t>
  </si>
  <si>
    <t>Taipei</t>
  </si>
  <si>
    <t>Taiwan</t>
  </si>
  <si>
    <t>26.0</t>
  </si>
  <si>
    <t>81.0</t>
  </si>
  <si>
    <t>New York City</t>
  </si>
  <si>
    <t>21.0</t>
  </si>
  <si>
    <t>Shanghai</t>
  </si>
  <si>
    <t>9.0</t>
  </si>
  <si>
    <t>25.0</t>
  </si>
  <si>
    <t>70.0</t>
  </si>
  <si>
    <t>65.0</t>
  </si>
  <si>
    <t>68.0</t>
  </si>
  <si>
    <t>190.0</t>
  </si>
  <si>
    <t>42.0</t>
  </si>
  <si>
    <t>49.0</t>
  </si>
  <si>
    <t>173.0</t>
  </si>
  <si>
    <t>110.0</t>
  </si>
  <si>
    <t>103.0</t>
  </si>
  <si>
    <t>107.0</t>
  </si>
  <si>
    <t>134.0</t>
  </si>
  <si>
    <t>170.0</t>
  </si>
  <si>
    <t>138.0</t>
  </si>
  <si>
    <t>67.0</t>
  </si>
  <si>
    <t>19.0</t>
  </si>
  <si>
    <t>18.0</t>
  </si>
  <si>
    <t>89.0</t>
  </si>
  <si>
    <t>86.0</t>
  </si>
  <si>
    <t>185.0</t>
  </si>
  <si>
    <t>91.0</t>
  </si>
  <si>
    <t>93.0</t>
  </si>
  <si>
    <t>33.0</t>
  </si>
  <si>
    <t>200.0</t>
  </si>
  <si>
    <t>54.0</t>
  </si>
  <si>
    <t>55.0</t>
  </si>
  <si>
    <t>56.0</t>
  </si>
  <si>
    <t>15.0</t>
  </si>
  <si>
    <t>23.0</t>
  </si>
  <si>
    <t>1667.0</t>
  </si>
  <si>
    <t>Museum</t>
  </si>
  <si>
    <t>American Museum of Natural History</t>
  </si>
  <si>
    <t>National Museum of the American Indian</t>
  </si>
  <si>
    <t>Victoria &amp; Albert Museum</t>
  </si>
  <si>
    <t>37.0</t>
  </si>
  <si>
    <t>2269880.0</t>
  </si>
  <si>
    <t>2629065.0</t>
  </si>
  <si>
    <t>Creation Museum</t>
  </si>
  <si>
    <t>British Museum</t>
  </si>
  <si>
    <t>5569981.0</t>
  </si>
  <si>
    <t>5842000.0</t>
  </si>
  <si>
    <t>Whitney Museum of American Art</t>
  </si>
  <si>
    <t>J. Paul Getty Museum</t>
  </si>
  <si>
    <t>40.0</t>
  </si>
  <si>
    <t>New Museum</t>
  </si>
  <si>
    <t>Salvador Dali Museum</t>
  </si>
  <si>
    <t>Natural History Museum</t>
  </si>
  <si>
    <t>4105106.0</t>
  </si>
  <si>
    <t>4647613.0</t>
  </si>
  <si>
    <t>Metropolitan Museum of Art</t>
  </si>
  <si>
    <t>14.0</t>
  </si>
  <si>
    <t>Guggenheim Museum</t>
  </si>
  <si>
    <t>Design Museum</t>
  </si>
  <si>
    <t>Tate Modern</t>
  </si>
  <si>
    <t>4747537.0</t>
  </si>
  <si>
    <t>5061172.0</t>
  </si>
  <si>
    <t>Acropolis Museum</t>
  </si>
  <si>
    <t>Mus?e du Louvre</t>
  </si>
  <si>
    <t>34.0</t>
  </si>
  <si>
    <t>MoMA The Museum of Modern Art</t>
  </si>
  <si>
    <t>Centre Pompidou</t>
  </si>
  <si>
    <t>City Museum</t>
  </si>
  <si>
    <t>Fell Name</t>
  </si>
  <si>
    <t>Graystones</t>
  </si>
  <si>
    <t>452.0</t>
  </si>
  <si>
    <t>1483.0</t>
  </si>
  <si>
    <t>188.0</t>
  </si>
  <si>
    <t>Great Calva</t>
  </si>
  <si>
    <t>690.0</t>
  </si>
  <si>
    <t>2264.0</t>
  </si>
  <si>
    <t>Kentmere Pike</t>
  </si>
  <si>
    <t>730.0</t>
  </si>
  <si>
    <t>2395.0</t>
  </si>
  <si>
    <t>Esk Pike</t>
  </si>
  <si>
    <t>885.0</t>
  </si>
  <si>
    <t>2904.0</t>
  </si>
  <si>
    <t>Crag Hill (Eel Crag)</t>
  </si>
  <si>
    <t>838.0</t>
  </si>
  <si>
    <t>2749.0</t>
  </si>
  <si>
    <t>Eagle Crag</t>
  </si>
  <si>
    <t>520.0</t>
  </si>
  <si>
    <t>1722.0</t>
  </si>
  <si>
    <t>160.0</t>
  </si>
  <si>
    <t>Dow Crag</t>
  </si>
  <si>
    <t>778.0</t>
  </si>
  <si>
    <t>2552.0</t>
  </si>
  <si>
    <t>Froswick</t>
  </si>
  <si>
    <t>720.0</t>
  </si>
  <si>
    <t>2362.0</t>
  </si>
  <si>
    <t>77.0</t>
  </si>
  <si>
    <t>Fleetwith Pike</t>
  </si>
  <si>
    <t>648.0</t>
  </si>
  <si>
    <t>2126.0</t>
  </si>
  <si>
    <t>116.0</t>
  </si>
  <si>
    <t>Fellbarrow</t>
  </si>
  <si>
    <t>416.0</t>
  </si>
  <si>
    <t>198.0</t>
  </si>
  <si>
    <t>Fairfield</t>
  </si>
  <si>
    <t>873.0</t>
  </si>
  <si>
    <t>2864.0</t>
  </si>
  <si>
    <t>Gibson Knott</t>
  </si>
  <si>
    <t>420.0</t>
  </si>
  <si>
    <t>1378.0</t>
  </si>
  <si>
    <t>197.0</t>
  </si>
  <si>
    <t>Gavel Fell</t>
  </si>
  <si>
    <t>526.0</t>
  </si>
  <si>
    <t>1726.0</t>
  </si>
  <si>
    <t>158.0</t>
  </si>
  <si>
    <t>Great Borne</t>
  </si>
  <si>
    <t>616.0</t>
  </si>
  <si>
    <t>2021.0</t>
  </si>
  <si>
    <t>126.0</t>
  </si>
  <si>
    <t>Gray Crag</t>
  </si>
  <si>
    <t>699.0</t>
  </si>
  <si>
    <t>2293.0</t>
  </si>
  <si>
    <t>90.0</t>
  </si>
  <si>
    <t>Great Carrs</t>
  </si>
  <si>
    <t>785.0</t>
  </si>
  <si>
    <t>2575.0</t>
  </si>
  <si>
    <t>Dollywaggon Pike</t>
  </si>
  <si>
    <t>858.0</t>
  </si>
  <si>
    <t>2815.0</t>
  </si>
  <si>
    <t>Raise</t>
  </si>
  <si>
    <t>883.0</t>
  </si>
  <si>
    <t>2897.0</t>
  </si>
  <si>
    <t>Birks</t>
  </si>
  <si>
    <t>622.0</t>
  </si>
  <si>
    <t>2041.0</t>
  </si>
  <si>
    <t>124.0</t>
  </si>
  <si>
    <t>Yewbarrow</t>
  </si>
  <si>
    <t>627.0</t>
  </si>
  <si>
    <t>2057.0</t>
  </si>
  <si>
    <t>123.0</t>
  </si>
  <si>
    <t>Illgill Head</t>
  </si>
  <si>
    <t>609.0</t>
  </si>
  <si>
    <t>1998.0</t>
  </si>
  <si>
    <t>129.0</t>
  </si>
  <si>
    <t>Heron Pike</t>
  </si>
  <si>
    <t>612.0</t>
  </si>
  <si>
    <t>2008.0</t>
  </si>
  <si>
    <t>127.0</t>
  </si>
  <si>
    <t>Hartsop Dodd</t>
  </si>
  <si>
    <t>618.0</t>
  </si>
  <si>
    <t>2028.0</t>
  </si>
  <si>
    <t>125.0</t>
  </si>
  <si>
    <t>High Raise (Langdale)</t>
  </si>
  <si>
    <t>762.0</t>
  </si>
  <si>
    <t>2500.0</t>
  </si>
  <si>
    <t>58.0</t>
  </si>
  <si>
    <t>Great Dodd</t>
  </si>
  <si>
    <t>857.0</t>
  </si>
  <si>
    <t>2812.0</t>
  </si>
  <si>
    <t>Grasmoor</t>
  </si>
  <si>
    <t>852.0</t>
  </si>
  <si>
    <t>2795.0</t>
  </si>
  <si>
    <t>20.0</t>
  </si>
  <si>
    <t>Beda Fell</t>
  </si>
  <si>
    <t>509.0</t>
  </si>
  <si>
    <t>1670.0</t>
  </si>
  <si>
    <t>Broom Fell</t>
  </si>
  <si>
    <t>511.0</t>
  </si>
  <si>
    <t>1677.0</t>
  </si>
  <si>
    <t>169.0</t>
  </si>
  <si>
    <t>Barf</t>
  </si>
  <si>
    <t>468.0</t>
  </si>
  <si>
    <t>1535.0</t>
  </si>
  <si>
    <t>184.0</t>
  </si>
  <si>
    <t>High Spy</t>
  </si>
  <si>
    <t>653.0</t>
  </si>
  <si>
    <t>2142.0</t>
  </si>
  <si>
    <t>109.0</t>
  </si>
  <si>
    <t>High Stile</t>
  </si>
  <si>
    <t>2644.0</t>
  </si>
  <si>
    <t>30.0</t>
  </si>
  <si>
    <t>Skiddaw Little Man</t>
  </si>
  <si>
    <t>865.0</t>
  </si>
  <si>
    <t>2838.0</t>
  </si>
  <si>
    <t>Slight Side</t>
  </si>
  <si>
    <t>Sour Howes</t>
  </si>
  <si>
    <t>483.0</t>
  </si>
  <si>
    <t>1585.0</t>
  </si>
  <si>
    <t>183.0</t>
  </si>
  <si>
    <t>Souther Fell</t>
  </si>
  <si>
    <t>522.0</t>
  </si>
  <si>
    <t>1713.0</t>
  </si>
  <si>
    <t>Sheffield Pike</t>
  </si>
  <si>
    <t>675.0</t>
  </si>
  <si>
    <t>2215.0</t>
  </si>
  <si>
    <t>99.0</t>
  </si>
  <si>
    <t>Shipman Knotts</t>
  </si>
  <si>
    <t>587.0</t>
  </si>
  <si>
    <t>1926.0</t>
  </si>
  <si>
    <t>132.0</t>
  </si>
  <si>
    <t>Silver How</t>
  </si>
  <si>
    <t>1296.0</t>
  </si>
  <si>
    <t>202.0</t>
  </si>
  <si>
    <t>Skiddaw</t>
  </si>
  <si>
    <t>931.0</t>
  </si>
  <si>
    <t>3054.0</t>
  </si>
  <si>
    <t>Grey Friar</t>
  </si>
  <si>
    <t>773.0</t>
  </si>
  <si>
    <t>2536.0</t>
  </si>
  <si>
    <t>Wandope</t>
  </si>
  <si>
    <t>772.0</t>
  </si>
  <si>
    <t>2533.0</t>
  </si>
  <si>
    <t>Hopegill Head</t>
  </si>
  <si>
    <t>770.0</t>
  </si>
  <si>
    <t>2526.0</t>
  </si>
  <si>
    <t>53.0</t>
  </si>
  <si>
    <t>Great Rigg</t>
  </si>
  <si>
    <t>766.0</t>
  </si>
  <si>
    <t>2513.0</t>
  </si>
  <si>
    <t>Caudale Moor</t>
  </si>
  <si>
    <t>763.0</t>
  </si>
  <si>
    <t>2503.0</t>
  </si>
  <si>
    <t>Wetherlam</t>
  </si>
  <si>
    <t>Harrison Stickle</t>
  </si>
  <si>
    <t>736.0</t>
  </si>
  <si>
    <t>2415.0</t>
  </si>
  <si>
    <t>87.0</t>
  </si>
  <si>
    <t>Green Gable</t>
  </si>
  <si>
    <t>801.0</t>
  </si>
  <si>
    <t>2628.0</t>
  </si>
  <si>
    <t>Green Crag</t>
  </si>
  <si>
    <t>489.0</t>
  </si>
  <si>
    <t>1604.0</t>
  </si>
  <si>
    <t>176.0</t>
  </si>
  <si>
    <t>Great Crag</t>
  </si>
  <si>
    <t>1476.0</t>
  </si>
  <si>
    <t>191.0</t>
  </si>
  <si>
    <t>Great Cockup</t>
  </si>
  <si>
    <t>159.0</t>
  </si>
  <si>
    <t>Great End</t>
  </si>
  <si>
    <t>910.0</t>
  </si>
  <si>
    <t>2986.0</t>
  </si>
  <si>
    <t>Great Mell Fell</t>
  </si>
  <si>
    <t>537.0</t>
  </si>
  <si>
    <t>1762.0</t>
  </si>
  <si>
    <t>155.0</t>
  </si>
  <si>
    <t>Great Gable</t>
  </si>
  <si>
    <t>899.0</t>
  </si>
  <si>
    <t>2949.0</t>
  </si>
  <si>
    <t>7.0</t>
  </si>
  <si>
    <t>Great Sca Fell</t>
  </si>
  <si>
    <t>651.0</t>
  </si>
  <si>
    <t>2136.0</t>
  </si>
  <si>
    <t>114.0</t>
  </si>
  <si>
    <t>Watson's Dodd</t>
  </si>
  <si>
    <t>789.0</t>
  </si>
  <si>
    <t>2589.0</t>
  </si>
  <si>
    <t>Wansfell</t>
  </si>
  <si>
    <t>488.0</t>
  </si>
  <si>
    <t>1601.0</t>
  </si>
  <si>
    <t>177.0</t>
  </si>
  <si>
    <t>Ullscarf</t>
  </si>
  <si>
    <t>726.0</t>
  </si>
  <si>
    <t>2382.0</t>
  </si>
  <si>
    <t>Ullock Pike</t>
  </si>
  <si>
    <t>680.0</t>
  </si>
  <si>
    <t>Whinlatter</t>
  </si>
  <si>
    <t>517.0</t>
  </si>
  <si>
    <t>1696.0</t>
  </si>
  <si>
    <t>Knott</t>
  </si>
  <si>
    <t>2329.0</t>
  </si>
  <si>
    <t>Knott Rigg</t>
  </si>
  <si>
    <t>556.0</t>
  </si>
  <si>
    <t>1824.0</t>
  </si>
  <si>
    <t>145.0</t>
  </si>
  <si>
    <t>Lingmoor Fell</t>
  </si>
  <si>
    <t>469.0</t>
  </si>
  <si>
    <t>1539.0</t>
  </si>
  <si>
    <t>Latrigg</t>
  </si>
  <si>
    <t>367.0</t>
  </si>
  <si>
    <t>1204.0</t>
  </si>
  <si>
    <t>206.0</t>
  </si>
  <si>
    <t>Ling Fell</t>
  </si>
  <si>
    <t>373.0</t>
  </si>
  <si>
    <t>1224.0</t>
  </si>
  <si>
    <t>205.0</t>
  </si>
  <si>
    <t>Birkhouse Moor</t>
  </si>
  <si>
    <t>718.0</t>
  </si>
  <si>
    <t>2356.0</t>
  </si>
  <si>
    <t>78.0</t>
  </si>
  <si>
    <t>Lonscale Fell</t>
  </si>
  <si>
    <t>715.0</t>
  </si>
  <si>
    <t>2346.0</t>
  </si>
  <si>
    <t>79.0</t>
  </si>
  <si>
    <t>Brandreth</t>
  </si>
  <si>
    <t>80.0</t>
  </si>
  <si>
    <t>Starling Dodd</t>
  </si>
  <si>
    <t>633.0</t>
  </si>
  <si>
    <t>2077.0</t>
  </si>
  <si>
    <t>120.0</t>
  </si>
  <si>
    <t>Bowscale Fell</t>
  </si>
  <si>
    <t>702.0</t>
  </si>
  <si>
    <t>2303.0</t>
  </si>
  <si>
    <t>Bonscale Pike</t>
  </si>
  <si>
    <t>1719.0</t>
  </si>
  <si>
    <t>Bow Fell</t>
  </si>
  <si>
    <t>902.0</t>
  </si>
  <si>
    <t>2959.0</t>
  </si>
  <si>
    <t>Brim Fell</t>
  </si>
  <si>
    <t>796.0</t>
  </si>
  <si>
    <t>2612.0</t>
  </si>
  <si>
    <t>Brock Crags</t>
  </si>
  <si>
    <t>561.0</t>
  </si>
  <si>
    <t>1841.0</t>
  </si>
  <si>
    <t>144.0</t>
  </si>
  <si>
    <t>Steel Fell</t>
  </si>
  <si>
    <t>553.0</t>
  </si>
  <si>
    <t>1814.0</t>
  </si>
  <si>
    <t>Scoat Fell</t>
  </si>
  <si>
    <t>841.0</t>
  </si>
  <si>
    <t>2759.0</t>
  </si>
  <si>
    <t>Seathwaite Fell</t>
  </si>
  <si>
    <t>601.0</t>
  </si>
  <si>
    <t>1972.0</t>
  </si>
  <si>
    <t>130.0</t>
  </si>
  <si>
    <t>Dodd</t>
  </si>
  <si>
    <t>502.0</t>
  </si>
  <si>
    <t>174.0</t>
  </si>
  <si>
    <t>Bleaberry Fell</t>
  </si>
  <si>
    <t>590.0</t>
  </si>
  <si>
    <t>1936.0</t>
  </si>
  <si>
    <t>Blea Rigg</t>
  </si>
  <si>
    <t>541.0</t>
  </si>
  <si>
    <t>1775.0</t>
  </si>
  <si>
    <t>152.0</t>
  </si>
  <si>
    <t>Blake Fell</t>
  </si>
  <si>
    <t>573.0</t>
  </si>
  <si>
    <t>1880.0</t>
  </si>
  <si>
    <t>139.0</t>
  </si>
  <si>
    <t>Black Fell</t>
  </si>
  <si>
    <t>323.0</t>
  </si>
  <si>
    <t>1060.0</t>
  </si>
  <si>
    <t>212.0</t>
  </si>
  <si>
    <t>Binsey</t>
  </si>
  <si>
    <t>447.0</t>
  </si>
  <si>
    <t>1467.0</t>
  </si>
  <si>
    <t>192.0</t>
  </si>
  <si>
    <t>Base Brown</t>
  </si>
  <si>
    <t>646.0</t>
  </si>
  <si>
    <t>2119.0</t>
  </si>
  <si>
    <t>115.0</t>
  </si>
  <si>
    <t>Barrow</t>
  </si>
  <si>
    <t>455.0</t>
  </si>
  <si>
    <t>1494.0</t>
  </si>
  <si>
    <t>Gowbarrow Fell</t>
  </si>
  <si>
    <t>481.0</t>
  </si>
  <si>
    <t>1578.0</t>
  </si>
  <si>
    <t>180.0</t>
  </si>
  <si>
    <t>Sergeant's Crag</t>
  </si>
  <si>
    <t>571.0</t>
  </si>
  <si>
    <t>1873.0</t>
  </si>
  <si>
    <t>Sergeant Man</t>
  </si>
  <si>
    <t>Scafell Pike</t>
  </si>
  <si>
    <t>3209.0</t>
  </si>
  <si>
    <t>Scar Crags</t>
  </si>
  <si>
    <t>672.0</t>
  </si>
  <si>
    <t>2205.0</t>
  </si>
  <si>
    <t>101.0</t>
  </si>
  <si>
    <t>Seatallan</t>
  </si>
  <si>
    <t>692.0</t>
  </si>
  <si>
    <t>2270.0</t>
  </si>
  <si>
    <t>Seat Sandal</t>
  </si>
  <si>
    <t>Selside Pike</t>
  </si>
  <si>
    <t>655.0</t>
  </si>
  <si>
    <t>2149.0</t>
  </si>
  <si>
    <t>111.0</t>
  </si>
  <si>
    <t>Mardale Ill Bell</t>
  </si>
  <si>
    <t>760.0</t>
  </si>
  <si>
    <t>2493.0</t>
  </si>
  <si>
    <t>59.0</t>
  </si>
  <si>
    <t>Ill Bell</t>
  </si>
  <si>
    <t>757.0</t>
  </si>
  <si>
    <t>2484.0</t>
  </si>
  <si>
    <t>60.0</t>
  </si>
  <si>
    <t>Walla Crag</t>
  </si>
  <si>
    <t>1234.0</t>
  </si>
  <si>
    <t>204.0</t>
  </si>
  <si>
    <t>Nethermost Pike</t>
  </si>
  <si>
    <t>891.0</t>
  </si>
  <si>
    <t>2923.0</t>
  </si>
  <si>
    <t>Catstye Cam</t>
  </si>
  <si>
    <t>890.0</t>
  </si>
  <si>
    <t>2920.0</t>
  </si>
  <si>
    <t>10.0</t>
  </si>
  <si>
    <t>Scafell</t>
  </si>
  <si>
    <t>964.0</t>
  </si>
  <si>
    <t>3163.0</t>
  </si>
  <si>
    <t>Pillar</t>
  </si>
  <si>
    <t>892.0</t>
  </si>
  <si>
    <t>2927.0</t>
  </si>
  <si>
    <t>Castle Crag</t>
  </si>
  <si>
    <t>290.0</t>
  </si>
  <si>
    <t>214.0</t>
  </si>
  <si>
    <t>Carrock Fell</t>
  </si>
  <si>
    <t>663.0</t>
  </si>
  <si>
    <t>2175.0</t>
  </si>
  <si>
    <t>105.0</t>
  </si>
  <si>
    <t>Cat Bells</t>
  </si>
  <si>
    <t>451.0</t>
  </si>
  <si>
    <t>1480.0</t>
  </si>
  <si>
    <t>189.0</t>
  </si>
  <si>
    <t>Burnbank Fell</t>
  </si>
  <si>
    <t>475.0</t>
  </si>
  <si>
    <t>1558.0</t>
  </si>
  <si>
    <t>Buckbarrow</t>
  </si>
  <si>
    <t>1329.0</t>
  </si>
  <si>
    <t>Carl Side</t>
  </si>
  <si>
    <t>746.0</t>
  </si>
  <si>
    <t>2448.0</t>
  </si>
  <si>
    <t>Calf Crag</t>
  </si>
  <si>
    <t>154.0</t>
  </si>
  <si>
    <t>Causey Pike</t>
  </si>
  <si>
    <t>637.0</t>
  </si>
  <si>
    <t>2090.0</t>
  </si>
  <si>
    <t>119.0</t>
  </si>
  <si>
    <t>Red Pike (Buttermere)</t>
  </si>
  <si>
    <t>755.0</t>
  </si>
  <si>
    <t>2477.0</t>
  </si>
  <si>
    <t>61.0</t>
  </si>
  <si>
    <t>Raven Crag</t>
  </si>
  <si>
    <t>461.0</t>
  </si>
  <si>
    <t>1512.0</t>
  </si>
  <si>
    <t>186.0</t>
  </si>
  <si>
    <t>Armboth Fell</t>
  </si>
  <si>
    <t>479.0</t>
  </si>
  <si>
    <t>1572.0</t>
  </si>
  <si>
    <t>182.0</t>
  </si>
  <si>
    <t>High Seat</t>
  </si>
  <si>
    <t>608.0</t>
  </si>
  <si>
    <t>1995.0</t>
  </si>
  <si>
    <t>128.0</t>
  </si>
  <si>
    <t>Mungrisdale Common</t>
  </si>
  <si>
    <t>Middle Dodd</t>
  </si>
  <si>
    <t>654.0</t>
  </si>
  <si>
    <t>2146.0</t>
  </si>
  <si>
    <t>Middle Fell</t>
  </si>
  <si>
    <t>582.0</t>
  </si>
  <si>
    <t>1909.0</t>
  </si>
  <si>
    <t>Kidsty Pike</t>
  </si>
  <si>
    <t>780.0</t>
  </si>
  <si>
    <t>2559.0</t>
  </si>
  <si>
    <t>Kirk Fell</t>
  </si>
  <si>
    <t>802.0</t>
  </si>
  <si>
    <t>2631.0</t>
  </si>
  <si>
    <t>The Old Man of Coniston</t>
  </si>
  <si>
    <t>803.0</t>
  </si>
  <si>
    <t>2635.0</t>
  </si>
  <si>
    <t>Dove Crag</t>
  </si>
  <si>
    <t>792.0</t>
  </si>
  <si>
    <t>2598.0</t>
  </si>
  <si>
    <t>38.0</t>
  </si>
  <si>
    <t>Rampsgill Head</t>
  </si>
  <si>
    <t>156.0</t>
  </si>
  <si>
    <t>Grisedale Pike</t>
  </si>
  <si>
    <t>791.0</t>
  </si>
  <si>
    <t>2595.0</t>
  </si>
  <si>
    <t>Grange Fell</t>
  </si>
  <si>
    <t>415.0</t>
  </si>
  <si>
    <t>1362.0</t>
  </si>
  <si>
    <t>199.0</t>
  </si>
  <si>
    <t>Glaramara</t>
  </si>
  <si>
    <t>783.0</t>
  </si>
  <si>
    <t>2560.0</t>
  </si>
  <si>
    <t>45.0</t>
  </si>
  <si>
    <t>Lord's Seat</t>
  </si>
  <si>
    <t>552.0</t>
  </si>
  <si>
    <t>1811.0</t>
  </si>
  <si>
    <t>146.0</t>
  </si>
  <si>
    <t>Low Fell</t>
  </si>
  <si>
    <t>423.0</t>
  </si>
  <si>
    <t>1388.0</t>
  </si>
  <si>
    <t>196.0</t>
  </si>
  <si>
    <t>Loughrigg Fell</t>
  </si>
  <si>
    <t>335.0</t>
  </si>
  <si>
    <t>1099.0</t>
  </si>
  <si>
    <t>211.0</t>
  </si>
  <si>
    <t>Loft Crag</t>
  </si>
  <si>
    <t>2231.0</t>
  </si>
  <si>
    <t>Loadpot Hill</t>
  </si>
  <si>
    <t>671.0</t>
  </si>
  <si>
    <t>2201.0</t>
  </si>
  <si>
    <t>102.0</t>
  </si>
  <si>
    <t>Longlands Fell</t>
  </si>
  <si>
    <t>Long Side</t>
  </si>
  <si>
    <t>734.0</t>
  </si>
  <si>
    <t>2408.0</t>
  </si>
  <si>
    <t>71.0</t>
  </si>
  <si>
    <t>Maiden Moor</t>
  </si>
  <si>
    <t>575.0</t>
  </si>
  <si>
    <t>1886.0</t>
  </si>
  <si>
    <t>136.0</t>
  </si>
  <si>
    <t>Low Pike</t>
  </si>
  <si>
    <t>171.0</t>
  </si>
  <si>
    <t>Holme Fell</t>
  </si>
  <si>
    <t>317.0</t>
  </si>
  <si>
    <t>1040.0</t>
  </si>
  <si>
    <t>213.0</t>
  </si>
  <si>
    <t>High Raise (Mardale)</t>
  </si>
  <si>
    <t>High Rigg</t>
  </si>
  <si>
    <t>1171.0</t>
  </si>
  <si>
    <t>209.0</t>
  </si>
  <si>
    <t>744.0</t>
  </si>
  <si>
    <t>2441.0</t>
  </si>
  <si>
    <t>High Hartsop Dodd</t>
  </si>
  <si>
    <t>519.0</t>
  </si>
  <si>
    <t>1703.0</t>
  </si>
  <si>
    <t>162.0</t>
  </si>
  <si>
    <t>High Pike (Caldbeck)</t>
  </si>
  <si>
    <t>658.0</t>
  </si>
  <si>
    <t>2159.0</t>
  </si>
  <si>
    <t>High Pike (Scandale)</t>
  </si>
  <si>
    <t>656.0</t>
  </si>
  <si>
    <t>2152.0</t>
  </si>
  <si>
    <t>Red Screes</t>
  </si>
  <si>
    <t>776.0</t>
  </si>
  <si>
    <t>2546.0</t>
  </si>
  <si>
    <t>Thornthwaite Crag</t>
  </si>
  <si>
    <t>784.0</t>
  </si>
  <si>
    <t>2572.0</t>
  </si>
  <si>
    <t>Allen Crags</t>
  </si>
  <si>
    <t>43.0</t>
  </si>
  <si>
    <t>Harter Fell (Mardale)</t>
  </si>
  <si>
    <t>Hindscarth</t>
  </si>
  <si>
    <t>727.0</t>
  </si>
  <si>
    <t>2385.0</t>
  </si>
  <si>
    <t>73.0</t>
  </si>
  <si>
    <t>High Tove</t>
  </si>
  <si>
    <t>515.0</t>
  </si>
  <si>
    <t>1690.0</t>
  </si>
  <si>
    <t>168.0</t>
  </si>
  <si>
    <t>High Street</t>
  </si>
  <si>
    <t>828.0</t>
  </si>
  <si>
    <t>2717.0</t>
  </si>
  <si>
    <t>Tarn Crag (Easedale)</t>
  </si>
  <si>
    <t>550.0</t>
  </si>
  <si>
    <t>1804.0</t>
  </si>
  <si>
    <t>149.0</t>
  </si>
  <si>
    <t>Little Mell Fell</t>
  </si>
  <si>
    <t>505.0</t>
  </si>
  <si>
    <t>172.0</t>
  </si>
  <si>
    <t>Lank Rigg</t>
  </si>
  <si>
    <t>Yoke</t>
  </si>
  <si>
    <t>706.0</t>
  </si>
  <si>
    <t>2316.0</t>
  </si>
  <si>
    <t>85.0</t>
  </si>
  <si>
    <t>Whiteless Pike</t>
  </si>
  <si>
    <t>660.0</t>
  </si>
  <si>
    <t>2165.0</t>
  </si>
  <si>
    <t>106.0</t>
  </si>
  <si>
    <t>Dale Head</t>
  </si>
  <si>
    <t>753.0</t>
  </si>
  <si>
    <t>2470.0</t>
  </si>
  <si>
    <t>63.0</t>
  </si>
  <si>
    <t>The Knott</t>
  </si>
  <si>
    <t>739.0</t>
  </si>
  <si>
    <t>2425.0</t>
  </si>
  <si>
    <t>66.0</t>
  </si>
  <si>
    <t>Nab Scar</t>
  </si>
  <si>
    <t>Whiteside</t>
  </si>
  <si>
    <t>707.0</t>
  </si>
  <si>
    <t>2320.0</t>
  </si>
  <si>
    <t>Haystacks</t>
  </si>
  <si>
    <t>597.0</t>
  </si>
  <si>
    <t>1959.0</t>
  </si>
  <si>
    <t>135.0</t>
  </si>
  <si>
    <t>St Sunday Crag</t>
  </si>
  <si>
    <t>22.0</t>
  </si>
  <si>
    <t>Rest Dodd</t>
  </si>
  <si>
    <t>696.0</t>
  </si>
  <si>
    <t>2283.0</t>
  </si>
  <si>
    <t>Hartsop Above How</t>
  </si>
  <si>
    <t>570.0</t>
  </si>
  <si>
    <t>1870.0</t>
  </si>
  <si>
    <t>140.0</t>
  </si>
  <si>
    <t>Harter Fell (Eskdale)</t>
  </si>
  <si>
    <t>Bannerdale Crags</t>
  </si>
  <si>
    <t>683.0</t>
  </si>
  <si>
    <t>2241.0</t>
  </si>
  <si>
    <t>97.0</t>
  </si>
  <si>
    <t>Lingmell</t>
  </si>
  <si>
    <t>2648.0</t>
  </si>
  <si>
    <t>29.0</t>
  </si>
  <si>
    <t>Outerside</t>
  </si>
  <si>
    <t>568.0</t>
  </si>
  <si>
    <t>1864.0</t>
  </si>
  <si>
    <t>141.0</t>
  </si>
  <si>
    <t>Angletarn Pikes</t>
  </si>
  <si>
    <t>567.0</t>
  </si>
  <si>
    <t>1860.0</t>
  </si>
  <si>
    <t>143.0</t>
  </si>
  <si>
    <t>Rosthwaite Fell</t>
  </si>
  <si>
    <t>551.0</t>
  </si>
  <si>
    <t>1808.0</t>
  </si>
  <si>
    <t>147.0</t>
  </si>
  <si>
    <t>Meal Fell</t>
  </si>
  <si>
    <t>153.0</t>
  </si>
  <si>
    <t>Stybarrow Dodd</t>
  </si>
  <si>
    <t>843.0</t>
  </si>
  <si>
    <t>2766.0</t>
  </si>
  <si>
    <t>Stone Arthur</t>
  </si>
  <si>
    <t>500.0</t>
  </si>
  <si>
    <t>1640.0</t>
  </si>
  <si>
    <t>Steel Knotts</t>
  </si>
  <si>
    <t>432.0</t>
  </si>
  <si>
    <t>1417.0</t>
  </si>
  <si>
    <t>195.0</t>
  </si>
  <si>
    <t>Tarn Crag (Longsleddale)</t>
  </si>
  <si>
    <t>664.0</t>
  </si>
  <si>
    <t>2178.0</t>
  </si>
  <si>
    <t>Hart Side</t>
  </si>
  <si>
    <t>2480.0</t>
  </si>
  <si>
    <t>Mellbreak</t>
  </si>
  <si>
    <t>1680.0</t>
  </si>
  <si>
    <t>166.0</t>
  </si>
  <si>
    <t>Crag Fell</t>
  </si>
  <si>
    <t>1716.0</t>
  </si>
  <si>
    <t>163.0</t>
  </si>
  <si>
    <t>Wether Hill</t>
  </si>
  <si>
    <t>670.0</t>
  </si>
  <si>
    <t>2198.0</t>
  </si>
  <si>
    <t>Hallin Fell</t>
  </si>
  <si>
    <t>1273.0</t>
  </si>
  <si>
    <t>203.0</t>
  </si>
  <si>
    <t>Ard Crags</t>
  </si>
  <si>
    <t>581.0</t>
  </si>
  <si>
    <t>1906.0</t>
  </si>
  <si>
    <t>Grike</t>
  </si>
  <si>
    <t>486.0</t>
  </si>
  <si>
    <t>1594.0</t>
  </si>
  <si>
    <t>178.0</t>
  </si>
  <si>
    <t>Place Fell</t>
  </si>
  <si>
    <t>657.0</t>
  </si>
  <si>
    <t>2156.0</t>
  </si>
  <si>
    <t>Hen Comb</t>
  </si>
  <si>
    <t>Helvellyn</t>
  </si>
  <si>
    <t>3117.0</t>
  </si>
  <si>
    <t>Helm Crag</t>
  </si>
  <si>
    <t>396.0</t>
  </si>
  <si>
    <t>1299.0</t>
  </si>
  <si>
    <t>201.0</t>
  </si>
  <si>
    <t>Haycock</t>
  </si>
  <si>
    <t>797.0</t>
  </si>
  <si>
    <t>2615.0</t>
  </si>
  <si>
    <t>705.0</t>
  </si>
  <si>
    <t>2313.0</t>
  </si>
  <si>
    <t>Sallows</t>
  </si>
  <si>
    <t>516.0</t>
  </si>
  <si>
    <t>1693.0</t>
  </si>
  <si>
    <t>164.0</t>
  </si>
  <si>
    <t>Glenridding Dodd</t>
  </si>
  <si>
    <t>442.0</t>
  </si>
  <si>
    <t>1450.0</t>
  </si>
  <si>
    <t>193.0</t>
  </si>
  <si>
    <t>Pavey Ark</t>
  </si>
  <si>
    <t>700.0</t>
  </si>
  <si>
    <t>2297.0</t>
  </si>
  <si>
    <t>Cold Pike</t>
  </si>
  <si>
    <t>701.0</t>
  </si>
  <si>
    <t>2300.0</t>
  </si>
  <si>
    <t>88.0</t>
  </si>
  <si>
    <t>Pike of Stickle</t>
  </si>
  <si>
    <t>709.0</t>
  </si>
  <si>
    <t>2326.0</t>
  </si>
  <si>
    <t>83.0</t>
  </si>
  <si>
    <t>Branstree</t>
  </si>
  <si>
    <t>713.0</t>
  </si>
  <si>
    <t>2339.0</t>
  </si>
  <si>
    <t>Troutbeck Tongue</t>
  </si>
  <si>
    <t>1194.0</t>
  </si>
  <si>
    <t>207.0</t>
  </si>
  <si>
    <t>Clough Head</t>
  </si>
  <si>
    <t>74.0</t>
  </si>
  <si>
    <t>Hart Crag</t>
  </si>
  <si>
    <t>822.0</t>
  </si>
  <si>
    <t>2697.0</t>
  </si>
  <si>
    <t>27.0</t>
  </si>
  <si>
    <t>Hard Knott</t>
  </si>
  <si>
    <t>549.0</t>
  </si>
  <si>
    <t>1801.0</t>
  </si>
  <si>
    <t>151.0</t>
  </si>
  <si>
    <t>Whin Rigg</t>
  </si>
  <si>
    <t>535.0</t>
  </si>
  <si>
    <t>1755.0</t>
  </si>
  <si>
    <t>Brae Fell</t>
  </si>
  <si>
    <t>586.0</t>
  </si>
  <si>
    <t>1923.0</t>
  </si>
  <si>
    <t>Crinkle Crags</t>
  </si>
  <si>
    <t>859.0</t>
  </si>
  <si>
    <t>2818.0</t>
  </si>
  <si>
    <t>Bakestall</t>
  </si>
  <si>
    <t>673.0</t>
  </si>
  <si>
    <t>2208.0</t>
  </si>
  <si>
    <t>Steeple</t>
  </si>
  <si>
    <t>819.0</t>
  </si>
  <si>
    <t>2687.0</t>
  </si>
  <si>
    <t>28.0</t>
  </si>
  <si>
    <t>Caw Fell</t>
  </si>
  <si>
    <t>697.0</t>
  </si>
  <si>
    <t>2287.0</t>
  </si>
  <si>
    <t>Grey Crag</t>
  </si>
  <si>
    <t>638.0</t>
  </si>
  <si>
    <t>2093.0</t>
  </si>
  <si>
    <t>118.0</t>
  </si>
  <si>
    <t>Rossett Pike</t>
  </si>
  <si>
    <t>117.0</t>
  </si>
  <si>
    <t>Little Hart Crag</t>
  </si>
  <si>
    <t>Grey Knotts</t>
  </si>
  <si>
    <t>Blencathra</t>
  </si>
  <si>
    <t>868.0</t>
  </si>
  <si>
    <t>2848.0</t>
  </si>
  <si>
    <t>576.0</t>
  </si>
  <si>
    <t>1890.0</t>
  </si>
  <si>
    <t>137.0</t>
  </si>
  <si>
    <t>Sail</t>
  </si>
  <si>
    <t>Red Pike (Wasdale)</t>
  </si>
  <si>
    <t>2710.0</t>
  </si>
  <si>
    <t>Robinson</t>
  </si>
  <si>
    <t>737.0</t>
  </si>
  <si>
    <t>2418.0</t>
  </si>
  <si>
    <t>Arthur's Pike</t>
  </si>
  <si>
    <t>1749.0</t>
  </si>
  <si>
    <t>157.0</t>
  </si>
  <si>
    <t>Sale Fell</t>
  </si>
  <si>
    <t>357.0</t>
  </si>
  <si>
    <t>1178.0</t>
  </si>
  <si>
    <t>White Side</t>
  </si>
  <si>
    <t>863.0</t>
  </si>
  <si>
    <t>2831.0</t>
  </si>
  <si>
    <t>16.0</t>
  </si>
  <si>
    <t>Arnison Crag</t>
  </si>
  <si>
    <t>433.0</t>
  </si>
  <si>
    <t>1421.0</t>
  </si>
  <si>
    <t>194.0</t>
  </si>
  <si>
    <t>Rannerdale Knotts</t>
  </si>
  <si>
    <t>355.0</t>
  </si>
  <si>
    <t>1165.0</t>
  </si>
  <si>
    <t>210.0</t>
  </si>
  <si>
    <t>Thunacar Knott</t>
  </si>
  <si>
    <t>723.0</t>
  </si>
  <si>
    <t>2372.0</t>
  </si>
  <si>
    <t>76.0</t>
  </si>
  <si>
    <t>Swirl How</t>
  </si>
  <si>
    <t>Unnamed: 0</t>
  </si>
  <si>
    <t>Socialist Party</t>
  </si>
  <si>
    <t>64212.0</t>
  </si>
  <si>
    <t>58759.0</t>
  </si>
  <si>
    <t>64092.0</t>
  </si>
  <si>
    <t>59814.0</t>
  </si>
  <si>
    <t>50305.0</t>
  </si>
  <si>
    <t>Green Party</t>
  </si>
  <si>
    <t>385271.0</t>
  </si>
  <si>
    <t>352555.0</t>
  </si>
  <si>
    <t>670337.0</t>
  </si>
  <si>
    <t>334851.0</t>
  </si>
  <si>
    <t>25207.0</t>
  </si>
  <si>
    <t>232629.0</t>
  </si>
  <si>
    <t>704436.0</t>
  </si>
  <si>
    <t>505463.0</t>
  </si>
  <si>
    <t>Labour Party</t>
  </si>
  <si>
    <t>1417105.0</t>
  </si>
  <si>
    <t>1296765.0</t>
  </si>
  <si>
    <t>1942564.0</t>
  </si>
  <si>
    <t>1052611.0</t>
  </si>
  <si>
    <t>906393.0</t>
  </si>
  <si>
    <t>2082391.0</t>
  </si>
  <si>
    <t>1679996.0</t>
  </si>
  <si>
    <t>Progressive Democrats</t>
  </si>
  <si>
    <t>510410.0</t>
  </si>
  <si>
    <t>467066.0</t>
  </si>
  <si>
    <t>907479.0</t>
  </si>
  <si>
    <t>451956.0</t>
  </si>
  <si>
    <t>223642.0</t>
  </si>
  <si>
    <t>331620.0</t>
  </si>
  <si>
    <t>835358.0</t>
  </si>
  <si>
    <t>639214.0</t>
  </si>
  <si>
    <t>Fianna Fï¿½il</t>
  </si>
  <si>
    <t>2704169.0</t>
  </si>
  <si>
    <t>2472866.0</t>
  </si>
  <si>
    <t>4597103.0</t>
  </si>
  <si>
    <t>4903423.0</t>
  </si>
  <si>
    <t>3992596.0</t>
  </si>
  <si>
    <t>2094432.0</t>
  </si>
  <si>
    <t>Fine Gael</t>
  </si>
  <si>
    <t>2115054.0</t>
  </si>
  <si>
    <t>1927929.0</t>
  </si>
  <si>
    <t>3137147.0</t>
  </si>
  <si>
    <t>2057895.0</t>
  </si>
  <si>
    <t>1826963.0</t>
  </si>
  <si>
    <t>3364921.0</t>
  </si>
  <si>
    <t>3020529.0</t>
  </si>
  <si>
    <t>Sinn Fï¿½in</t>
  </si>
  <si>
    <t>293795.0</t>
  </si>
  <si>
    <t>606002.0</t>
  </si>
  <si>
    <t>529986.0</t>
  </si>
  <si>
    <t>182322.0</t>
  </si>
  <si>
    <t>Correlating Column Density</t>
  </si>
  <si>
    <r>
      <t>9,910 sq mi (25,700 km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</si>
  <si>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23,000 sq mi (60,000 km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</si>
  <si>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22,300 sq mi (58,000 km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</si>
  <si>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7,340 sq mi (19,000 km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</si>
  <si>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31,700 sq mi (82,000 km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</si>
  <si>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116 cu mi (480 km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</si>
  <si>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850 cu mi (3,500 km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</si>
  <si>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1,180 cu mi (4,900 km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</si>
  <si>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393 cu mi (1,640 km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</si>
  <si>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2,900 cu mi (12,000 km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</si>
  <si>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571 ft (174 m)</t>
  </si>
  <si>
    <t>577 ft (176 m)</t>
  </si>
  <si>
    <t>246 ft (75 m)</t>
  </si>
  <si>
    <t>600.0 ft (182.9 m)</t>
  </si>
  <si>
    <t>62 ft (19 m)</t>
  </si>
  <si>
    <t>195 ft (59 m)</t>
  </si>
  <si>
    <t>279 ft (85 m)</t>
  </si>
  <si>
    <t>283 ft (86 m)</t>
  </si>
  <si>
    <t>483 ft (147 m)</t>
  </si>
  <si>
    <t>210 ft (64 m)</t>
  </si>
  <si>
    <t>748 ft (228 m)</t>
  </si>
  <si>
    <t>925 ft (282 m)</t>
  </si>
  <si>
    <t>804 ft (245 m)</t>
  </si>
  <si>
    <t>1,333 ft (406 m)</t>
  </si>
  <si>
    <t>Name</t>
  </si>
  <si>
    <t>Type</t>
  </si>
  <si>
    <t>Local names</t>
  </si>
  <si>
    <r>
      <t xml:space="preserve">Canton(s), </t>
    </r>
    <r>
      <rPr>
        <b/>
        <i/>
        <sz val="11"/>
        <color theme="1"/>
        <rFont val="Calibri"/>
        <family val="2"/>
        <scheme val="minor"/>
      </rPr>
      <t>neighboring countries</t>
    </r>
  </si>
  <si>
    <t>River basin</t>
  </si>
  <si>
    <t>Elevation</t>
  </si>
  <si>
    <t>N</t>
  </si>
  <si>
    <t>Lac Léman, Lac de Genève</t>
  </si>
  <si>
    <r>
      <t xml:space="preserve">Geneva, Vaud, Valais, </t>
    </r>
    <r>
      <rPr>
        <i/>
        <sz val="11"/>
        <color theme="1"/>
        <rFont val="Calibri"/>
        <family val="2"/>
        <scheme val="minor"/>
      </rPr>
      <t>France</t>
    </r>
  </si>
  <si>
    <t>Rhone</t>
  </si>
  <si>
    <t>580.03</t>
  </si>
  <si>
    <t>223.95</t>
  </si>
  <si>
    <t>372.0</t>
  </si>
  <si>
    <t>1,220.5</t>
  </si>
  <si>
    <t>Bodensee</t>
  </si>
  <si>
    <r>
      <t xml:space="preserve">St. Gallen, Thurgau, </t>
    </r>
    <r>
      <rPr>
        <i/>
        <sz val="11"/>
        <color theme="1"/>
        <rFont val="Calibri"/>
        <family val="2"/>
        <scheme val="minor"/>
      </rPr>
      <t>Austria</t>
    </r>
    <r>
      <rPr>
        <sz val="11"/>
        <color theme="1"/>
        <rFont val="Calibri"/>
        <family val="2"/>
        <scheme val="minor"/>
      </rPr>
      <t xml:space="preserve">, </t>
    </r>
    <r>
      <rPr>
        <i/>
        <sz val="11"/>
        <color theme="1"/>
        <rFont val="Calibri"/>
        <family val="2"/>
        <scheme val="minor"/>
      </rPr>
      <t>Germany</t>
    </r>
  </si>
  <si>
    <t>Rhine</t>
  </si>
  <si>
    <t>473.00</t>
  </si>
  <si>
    <t>182.63</t>
  </si>
  <si>
    <t>Lake Neuchâtel</t>
  </si>
  <si>
    <t>Lac de Neuchâtel, Neuenburgersee</t>
  </si>
  <si>
    <t>Berne, Fribourg, Neuchâtel, Vaud</t>
  </si>
  <si>
    <t>215.20</t>
  </si>
  <si>
    <t>83.09</t>
  </si>
  <si>
    <t>429.4</t>
  </si>
  <si>
    <t>Lago Maggiore</t>
  </si>
  <si>
    <r>
      <t xml:space="preserve">Ticino, </t>
    </r>
    <r>
      <rPr>
        <i/>
        <sz val="11"/>
        <color theme="1"/>
        <rFont val="Calibri"/>
        <family val="2"/>
        <scheme val="minor"/>
      </rPr>
      <t>Italy</t>
    </r>
  </si>
  <si>
    <t>Po</t>
  </si>
  <si>
    <t>210.12</t>
  </si>
  <si>
    <t>81.13</t>
  </si>
  <si>
    <t>193.5</t>
  </si>
  <si>
    <t>Vierwaldstättersee</t>
  </si>
  <si>
    <t>Lucerne, Nidwalden, Obwalden, Schwyz, Uri</t>
  </si>
  <si>
    <t>113.72</t>
  </si>
  <si>
    <t>43.91</t>
  </si>
  <si>
    <t>433.6</t>
  </si>
  <si>
    <t>Zürichsee</t>
  </si>
  <si>
    <t>St. Gallen, Schwyz, Zurich</t>
  </si>
  <si>
    <t>88.17</t>
  </si>
  <si>
    <t>34.04</t>
  </si>
  <si>
    <t>405.9</t>
  </si>
  <si>
    <t>Untersee</t>
  </si>
  <si>
    <r>
      <t xml:space="preserve">Schaffhausen, Thurgau, </t>
    </r>
    <r>
      <rPr>
        <i/>
        <sz val="11"/>
        <color theme="1"/>
        <rFont val="Calibri"/>
        <family val="2"/>
        <scheme val="minor"/>
      </rPr>
      <t>Germany</t>
    </r>
  </si>
  <si>
    <t>63.00</t>
  </si>
  <si>
    <t>24.32</t>
  </si>
  <si>
    <t>Ceresio, Lago di Lugano</t>
  </si>
  <si>
    <t>48.67</t>
  </si>
  <si>
    <t>18.79</t>
  </si>
  <si>
    <t>270.5</t>
  </si>
  <si>
    <t>Thunersee</t>
  </si>
  <si>
    <t>Berne</t>
  </si>
  <si>
    <t>47.74</t>
  </si>
  <si>
    <t>18.43</t>
  </si>
  <si>
    <t>557.8</t>
  </si>
  <si>
    <t>Lake Bienne</t>
  </si>
  <si>
    <t>Lac de Bienne, Bielersee</t>
  </si>
  <si>
    <t>Berne, Neuchâtel</t>
  </si>
  <si>
    <t>39.51</t>
  </si>
  <si>
    <t>15.25</t>
  </si>
  <si>
    <t>429.1</t>
  </si>
  <si>
    <t>Zugersee</t>
  </si>
  <si>
    <t>Lucerne, Schwyz, Zug</t>
  </si>
  <si>
    <t>38.41</t>
  </si>
  <si>
    <t>14.83</t>
  </si>
  <si>
    <t>413.6</t>
  </si>
  <si>
    <t>Brienzersee</t>
  </si>
  <si>
    <t>29.81</t>
  </si>
  <si>
    <t>563.7</t>
  </si>
  <si>
    <t>Lake Walen</t>
  </si>
  <si>
    <t>Glarus, St. Gallen</t>
  </si>
  <si>
    <t>24.16</t>
  </si>
  <si>
    <t>419.0</t>
  </si>
  <si>
    <t>1,374.7</t>
  </si>
  <si>
    <t>Lake Morat</t>
  </si>
  <si>
    <t>Lac de Morat (Murtensee)</t>
  </si>
  <si>
    <t>Fribourg, Vaud</t>
  </si>
  <si>
    <t>22.80</t>
  </si>
  <si>
    <t>429.2</t>
  </si>
  <si>
    <t>Lake Sempach</t>
  </si>
  <si>
    <t>Sempachersee</t>
  </si>
  <si>
    <t>Lucerne</t>
  </si>
  <si>
    <t>14.36</t>
  </si>
  <si>
    <t>503.8</t>
  </si>
  <si>
    <t>Sihlsee</t>
  </si>
  <si>
    <t>A</t>
  </si>
  <si>
    <t>Schwyz</t>
  </si>
  <si>
    <t>Lake Hallwil</t>
  </si>
  <si>
    <t>Hallwilersee</t>
  </si>
  <si>
    <t>Aargau, Lucerne</t>
  </si>
  <si>
    <t>448.7</t>
  </si>
  <si>
    <t>Lake Gruyère</t>
  </si>
  <si>
    <t>Lac de la Gruyère</t>
  </si>
  <si>
    <t>Fribourg</t>
  </si>
  <si>
    <t>Lac de Joux</t>
  </si>
  <si>
    <t>NR</t>
  </si>
  <si>
    <t>Vaud</t>
  </si>
  <si>
    <t>Zurich</t>
  </si>
  <si>
    <t>435.1</t>
  </si>
  <si>
    <t>Lake Sarnen</t>
  </si>
  <si>
    <t>Sarnersee</t>
  </si>
  <si>
    <t>Obwalden</t>
  </si>
  <si>
    <t>468.4</t>
  </si>
  <si>
    <t>Ägerisee</t>
  </si>
  <si>
    <t>Zug</t>
  </si>
  <si>
    <t>723.9</t>
  </si>
  <si>
    <t>Lake Baldegg</t>
  </si>
  <si>
    <t>Baldeggersee</t>
  </si>
  <si>
    <t>463.0</t>
  </si>
  <si>
    <t>1,519.0</t>
  </si>
  <si>
    <t>Lago di Livigno</t>
  </si>
  <si>
    <r>
      <t xml:space="preserve">Grisons, </t>
    </r>
    <r>
      <rPr>
        <i/>
        <sz val="11"/>
        <color theme="1"/>
        <rFont val="Calibri"/>
        <family val="2"/>
        <scheme val="minor"/>
      </rPr>
      <t>Italy</t>
    </r>
  </si>
  <si>
    <t>Danube</t>
  </si>
  <si>
    <t>Schiffenensee</t>
  </si>
  <si>
    <t>Schiffenensee, Lac de Schiffenen</t>
  </si>
  <si>
    <t>Wägitalersee</t>
  </si>
  <si>
    <t>Lago di Lei</t>
  </si>
  <si>
    <t>Lake Sils</t>
  </si>
  <si>
    <t>Silsersee, Lej da Segl</t>
  </si>
  <si>
    <t>Grisons</t>
  </si>
  <si>
    <t>Lac des Dix</t>
  </si>
  <si>
    <t>Valais</t>
  </si>
  <si>
    <t>Lake Wohlen</t>
  </si>
  <si>
    <t>Wohlensee</t>
  </si>
  <si>
    <t>Lac d'Emosson</t>
  </si>
  <si>
    <t>Klöntalersee</t>
  </si>
  <si>
    <t>Glarus</t>
  </si>
  <si>
    <t>Lake Silvaplana</t>
  </si>
  <si>
    <t>Silvaplanersee, Lej da Silvaplauna</t>
  </si>
  <si>
    <t>Pfäffikersee</t>
  </si>
  <si>
    <t>Lake Lauerz</t>
  </si>
  <si>
    <t>Lauerzersee</t>
  </si>
  <si>
    <t>3.00</t>
  </si>
  <si>
    <t>Grimselsee</t>
  </si>
  <si>
    <t>Lake Lungern</t>
  </si>
  <si>
    <t>Lungerersee, Lungernsee</t>
  </si>
  <si>
    <t>0.78</t>
  </si>
  <si>
    <t>Lac de Mauvoisin</t>
  </si>
  <si>
    <t>0.80</t>
  </si>
  <si>
    <t>Lago di Poschiavo</t>
  </si>
  <si>
    <t>0.76</t>
  </si>
  <si>
    <t>Lai da Sontga Maria</t>
  </si>
  <si>
    <t>Grisons, Ticino</t>
  </si>
  <si>
    <t>Mattmarksee</t>
  </si>
  <si>
    <t>0.68</t>
  </si>
  <si>
    <t>Lago di Vogorno</t>
  </si>
  <si>
    <t>Ticino</t>
  </si>
  <si>
    <t>0.65</t>
  </si>
  <si>
    <t>Lac de Salanfe</t>
  </si>
  <si>
    <t>0.63</t>
  </si>
  <si>
    <t>Zervreilasee</t>
  </si>
  <si>
    <t>0.62</t>
  </si>
  <si>
    <t>Lac de l'Hongrin</t>
  </si>
  <si>
    <t>Lago Bianco</t>
  </si>
  <si>
    <t>0.58</t>
  </si>
  <si>
    <t>Lago Ritom</t>
  </si>
  <si>
    <t>Oberaarsee</t>
  </si>
  <si>
    <t>Lai da Marmorera</t>
  </si>
  <si>
    <t>0.54</t>
  </si>
  <si>
    <t>Lac de Moiry</t>
  </si>
  <si>
    <t>Limmernsee</t>
  </si>
  <si>
    <t>0.53</t>
  </si>
  <si>
    <t>Göscheneralpsee</t>
  </si>
  <si>
    <t>Uri</t>
  </si>
  <si>
    <t>0.51</t>
  </si>
  <si>
    <t>Lago di Luzzone</t>
  </si>
  <si>
    <t>Albigna lake</t>
  </si>
  <si>
    <t>Lago da l'Albigna</t>
  </si>
  <si>
    <t>Lägh da l'Albigna</t>
  </si>
  <si>
    <t>0.49</t>
  </si>
  <si>
    <t>Oeschinen Lake</t>
  </si>
  <si>
    <t>Oeschinensee</t>
  </si>
  <si>
    <t>0.44</t>
  </si>
  <si>
    <t>Klingnauer Stausee</t>
  </si>
  <si>
    <t>Aargau</t>
  </si>
  <si>
    <t>0.43</t>
  </si>
  <si>
    <t>Lago del Sambuco</t>
  </si>
  <si>
    <t>Lac de Verbois</t>
  </si>
  <si>
    <t>Geneva</t>
  </si>
  <si>
    <t>0.39</t>
  </si>
  <si>
    <t>Lai da Nalps</t>
  </si>
  <si>
    <t>0.90</t>
  </si>
  <si>
    <t>0.35</t>
  </si>
  <si>
    <t>Lac de Tseuzier</t>
  </si>
  <si>
    <t>0.83</t>
  </si>
  <si>
    <t>0.32</t>
  </si>
  <si>
    <t>Sufnersee</t>
  </si>
  <si>
    <t>0.82</t>
  </si>
  <si>
    <t>Lai da Curnera</t>
  </si>
  <si>
    <t>0.79</t>
  </si>
  <si>
    <t>0.31</t>
  </si>
  <si>
    <t>Lake St. Moritz</t>
  </si>
  <si>
    <t>Lej da San Murezzan, St. Moritzersee</t>
  </si>
  <si>
    <t>0.75</t>
  </si>
  <si>
    <t>0.29</t>
  </si>
  <si>
    <t>Lago del Narèt</t>
  </si>
  <si>
    <t>0.73</t>
  </si>
  <si>
    <t>0.28</t>
  </si>
  <si>
    <t>Flachsee</t>
  </si>
  <si>
    <t>0.71</t>
  </si>
  <si>
    <t>0.27</t>
  </si>
  <si>
    <t>Lac des Brenets</t>
  </si>
  <si>
    <r>
      <t xml:space="preserve">Neuchâtel, </t>
    </r>
    <r>
      <rPr>
        <i/>
        <sz val="11"/>
        <color theme="1"/>
        <rFont val="Calibri"/>
        <family val="2"/>
        <scheme val="minor"/>
      </rPr>
      <t>France</t>
    </r>
  </si>
  <si>
    <t>0.70</t>
  </si>
  <si>
    <t>Alte Aare</t>
  </si>
  <si>
    <t>Gigerwaldsee</t>
  </si>
  <si>
    <t>St. Gallen</t>
  </si>
  <si>
    <t>0.69</t>
  </si>
  <si>
    <t>Lac de Moron</t>
  </si>
  <si>
    <t>Lac de Montsalvens</t>
  </si>
  <si>
    <t>0.66</t>
  </si>
  <si>
    <t>0.25</t>
  </si>
  <si>
    <t>Räterichsbodensee</t>
  </si>
  <si>
    <t>Lac Brenet</t>
  </si>
  <si>
    <t>Daubensee</t>
  </si>
  <si>
    <t>0.64</t>
  </si>
  <si>
    <t>Griessee</t>
  </si>
  <si>
    <t>Gelmersee</t>
  </si>
  <si>
    <t>0.24</t>
  </si>
  <si>
    <t>Lac des Toules</t>
  </si>
  <si>
    <t>0.60</t>
  </si>
  <si>
    <t>0.23</t>
  </si>
  <si>
    <t>Lake Davos</t>
  </si>
  <si>
    <t>Davosersee</t>
  </si>
  <si>
    <t>0.57</t>
  </si>
  <si>
    <t>Lac du Vieux Emosson</t>
  </si>
  <si>
    <t>0.55</t>
  </si>
  <si>
    <t>0.21</t>
  </si>
  <si>
    <t>Lago di Lucendro</t>
  </si>
  <si>
    <t>Mauensee</t>
  </si>
  <si>
    <t>Melchsee</t>
  </si>
  <si>
    <t>0.20</t>
  </si>
  <si>
    <t>Niederriedsee</t>
  </si>
  <si>
    <t>0.19</t>
  </si>
  <si>
    <t>Türlersee</t>
  </si>
  <si>
    <t>Lac de Cleuson</t>
  </si>
  <si>
    <t>0.48</t>
  </si>
  <si>
    <t>Lac de Bret</t>
  </si>
  <si>
    <t>Lago dei Cavagnöö</t>
  </si>
  <si>
    <t>Lago dei Cavagnöö, Lago di Cavagnoli</t>
  </si>
  <si>
    <t>Rotsee</t>
  </si>
  <si>
    <t>0.47</t>
  </si>
  <si>
    <t>Engstlensee</t>
  </si>
  <si>
    <t>0.46</t>
  </si>
  <si>
    <t>0.18</t>
  </si>
  <si>
    <t>Lac des Taillères</t>
  </si>
  <si>
    <t>Neuchâtel</t>
  </si>
  <si>
    <t>Schwarzsee</t>
  </si>
  <si>
    <t>0.45</t>
  </si>
  <si>
    <t>0.17</t>
  </si>
  <si>
    <t>Lago della Sella</t>
  </si>
  <si>
    <t>Arnensee</t>
  </si>
  <si>
    <t>Lej da Vadret</t>
  </si>
  <si>
    <t>Laj da Vadret</t>
  </si>
  <si>
    <t>Muttsee</t>
  </si>
  <si>
    <t>0.41</t>
  </si>
  <si>
    <t>0.16</t>
  </si>
  <si>
    <t>Lac de Biaufond</t>
  </si>
  <si>
    <r>
      <t xml:space="preserve">Jura, Neuchâtel, </t>
    </r>
    <r>
      <rPr>
        <i/>
        <sz val="11"/>
        <color theme="1"/>
        <rFont val="Calibri"/>
        <family val="2"/>
        <scheme val="minor"/>
      </rPr>
      <t>France</t>
    </r>
  </si>
  <si>
    <t>0.40</t>
  </si>
  <si>
    <t>0.15</t>
  </si>
  <si>
    <t>Lago Tremorgio</t>
  </si>
  <si>
    <t>Lag da Pigniu</t>
  </si>
  <si>
    <t>Lag da Pigniu, Panixersee</t>
  </si>
  <si>
    <t>Amsoldingersee</t>
  </si>
  <si>
    <t>0.38</t>
  </si>
  <si>
    <t>Lago d'Isola</t>
  </si>
  <si>
    <t>0.36</t>
  </si>
  <si>
    <t>0.14</t>
  </si>
  <si>
    <t>Lai da Ova Spin</t>
  </si>
  <si>
    <t>Hüttwilersee</t>
  </si>
  <si>
    <t>Thurgau</t>
  </si>
  <si>
    <t>Tannensee</t>
  </si>
  <si>
    <t>0.34</t>
  </si>
  <si>
    <t>0.13</t>
  </si>
  <si>
    <t>Moossee</t>
  </si>
  <si>
    <t>0.30</t>
  </si>
  <si>
    <t>0.12</t>
  </si>
  <si>
    <t>Area (km²)</t>
  </si>
  <si>
    <t>Area (mi²)</t>
  </si>
  <si>
    <t>Elevation (m)</t>
  </si>
  <si>
    <t>Elevation (ft)</t>
  </si>
  <si>
    <t>max. depth (m)</t>
  </si>
  <si>
    <t>max. depth (ft)</t>
  </si>
  <si>
    <t>Maximum depth</t>
  </si>
  <si>
    <t>Superior</t>
  </si>
  <si>
    <t>Michigan</t>
  </si>
  <si>
    <t>Huron</t>
  </si>
  <si>
    <t>Erie</t>
  </si>
  <si>
    <t>Length (km)</t>
  </si>
  <si>
    <t>Maximum depth (m)</t>
  </si>
  <si>
    <t>Total area (km2)</t>
  </si>
  <si>
    <t>Area on Canadian side of boundary (km2)</t>
  </si>
  <si>
    <r>
      <t>Area (km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</si>
  <si>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Caspian Sea</t>
  </si>
  <si>
    <t>374 000 - 436 000</t>
  </si>
  <si>
    <t>946 - 1 025</t>
  </si>
  <si>
    <t>Superior*</t>
  </si>
  <si>
    <t>82 100 - 83 300</t>
  </si>
  <si>
    <t>307 - 406</t>
  </si>
  <si>
    <t>Victoria</t>
  </si>
  <si>
    <t>62 940 - 69 900</t>
  </si>
  <si>
    <t>80 - 92</t>
  </si>
  <si>
    <t>Huron*</t>
  </si>
  <si>
    <t>59 500 - 59 800</t>
  </si>
  <si>
    <t>223 - 229</t>
  </si>
  <si>
    <t>57 016 - 58 100</t>
  </si>
  <si>
    <t>265 - 285</t>
  </si>
  <si>
    <t>Tanganyika</t>
  </si>
  <si>
    <t>32 000 - 34 000</t>
  </si>
  <si>
    <t>1 435 - 1 470</t>
  </si>
  <si>
    <t>Baikal</t>
  </si>
  <si>
    <t>31 500</t>
  </si>
  <si>
    <t>1 620 - 1 741</t>
  </si>
  <si>
    <t>Great Bear*</t>
  </si>
  <si>
    <t>30 200 - 31 792</t>
  </si>
  <si>
    <t>137 - 445</t>
  </si>
  <si>
    <t>Great Slave*</t>
  </si>
  <si>
    <t>27 000 - 28 570</t>
  </si>
  <si>
    <t>156 - 614</t>
  </si>
  <si>
    <t>Erie*</t>
  </si>
  <si>
    <t>25 657 - 25 720</t>
  </si>
  <si>
    <t>Winnipeg*</t>
  </si>
  <si>
    <t>24 387 - 24 600</t>
  </si>
  <si>
    <t>19 - 28</t>
  </si>
  <si>
    <t>Ontario*</t>
  </si>
  <si>
    <t>18 760 - 19 480</t>
  </si>
  <si>
    <t>225 - 273</t>
  </si>
  <si>
    <t>Athabasca*</t>
  </si>
  <si>
    <t>7 935 - 8 080</t>
  </si>
  <si>
    <t>60 - 124</t>
  </si>
  <si>
    <t>Winnipegosis*</t>
  </si>
  <si>
    <t>5 370 - 5 470</t>
  </si>
  <si>
    <t>Visitor count</t>
  </si>
  <si>
    <t>Louvre</t>
  </si>
  <si>
    <t>Paris</t>
  </si>
  <si>
    <t>France</t>
  </si>
  <si>
    <t>9,720,260</t>
  </si>
  <si>
    <t>United States</t>
  </si>
  <si>
    <t>6,115,881</t>
  </si>
  <si>
    <t>London</t>
  </si>
  <si>
    <t>5,575,946</t>
  </si>
  <si>
    <t>5,304,710</t>
  </si>
  <si>
    <t>National Gallery</t>
  </si>
  <si>
    <t>5,163,902</t>
  </si>
  <si>
    <t>Vatican Museums</t>
  </si>
  <si>
    <t>Vatican City</t>
  </si>
  <si>
    <t>5,064,546</t>
  </si>
  <si>
    <t>National Palace Museum</t>
  </si>
  <si>
    <t>4,360,815</t>
  </si>
  <si>
    <t>National Gallery of Art</t>
  </si>
  <si>
    <t>Washington, D.C.</t>
  </si>
  <si>
    <t>4,200,000</t>
  </si>
  <si>
    <t>3,800,000</t>
  </si>
  <si>
    <t>Musee D'Orsay</t>
  </si>
  <si>
    <t>3,600,000</t>
  </si>
  <si>
    <t>3,231,700</t>
  </si>
  <si>
    <t>National Museum of Korea</t>
  </si>
  <si>
    <t>Seoul</t>
  </si>
  <si>
    <t>South Korea</t>
  </si>
  <si>
    <t>3,128,550</t>
  </si>
  <si>
    <t>State Hermitage Museum</t>
  </si>
  <si>
    <t>St. Petersburg</t>
  </si>
  <si>
    <t>Russia</t>
  </si>
  <si>
    <t>2,882,385</t>
  </si>
  <si>
    <t>Museum of Modern Art</t>
  </si>
  <si>
    <t>2,805,659</t>
  </si>
  <si>
    <t>National Folk Museum of Korea</t>
  </si>
  <si>
    <t>2,640,264</t>
  </si>
  <si>
    <t>Reina SofÃ­a</t>
  </si>
  <si>
    <t>Madrid</t>
  </si>
  <si>
    <t>Spain</t>
  </si>
  <si>
    <t>2,565,000</t>
  </si>
  <si>
    <t>Centro Cultural Banco do Brasil</t>
  </si>
  <si>
    <t>Rio de Janeiro</t>
  </si>
  <si>
    <t>2,235,354</t>
  </si>
  <si>
    <t>National Portrait Gallery</t>
  </si>
  <si>
    <t>2,096,858</t>
  </si>
  <si>
    <t>Shanghai Museum</t>
  </si>
  <si>
    <t>1,944,820</t>
  </si>
  <si>
    <t>National Museum of Scotland</t>
  </si>
  <si>
    <t>Edinburgh</t>
  </si>
  <si>
    <t>1,893,521</t>
  </si>
  <si>
    <t>Galleria degli Uffizi</t>
  </si>
  <si>
    <t>Florence</t>
  </si>
  <si>
    <t>Italy</t>
  </si>
  <si>
    <t>1,769,217</t>
  </si>
  <si>
    <t>Moscow Kremlin</t>
  </si>
  <si>
    <t>Moscow</t>
  </si>
  <si>
    <t>1,735,600</t>
  </si>
  <si>
    <t>National Galleries of Scotland</t>
  </si>
  <si>
    <t>1,604,105</t>
  </si>
  <si>
    <t>1,590,608</t>
  </si>
  <si>
    <t>National Gallery of Victoria</t>
  </si>
  <si>
    <t>Melbourne</t>
  </si>
  <si>
    <t>Australia</t>
  </si>
  <si>
    <t>1,571,333</t>
  </si>
  <si>
    <t>Tate Britain</t>
  </si>
  <si>
    <t>1,536,833</t>
  </si>
  <si>
    <t>Grand Palais</t>
  </si>
  <si>
    <t>1,518,927</t>
  </si>
  <si>
    <t>Tokyo National Museum</t>
  </si>
  <si>
    <t>Tokyo</t>
  </si>
  <si>
    <t>1,504,286</t>
  </si>
  <si>
    <t>State Tretyakov Gallery</t>
  </si>
  <si>
    <t>1,491,575</t>
  </si>
  <si>
    <t>Van Gogh Museum</t>
  </si>
  <si>
    <t>Amsterdam</t>
  </si>
  <si>
    <t>Netherlands</t>
  </si>
  <si>
    <t>1,486,281</t>
  </si>
  <si>
    <t>Queensland Art Gallery/GoMA</t>
  </si>
  <si>
    <t>Brisbane</t>
  </si>
  <si>
    <t>1,480,944</t>
  </si>
  <si>
    <t>FAMSF</t>
  </si>
  <si>
    <t>1,448,176</t>
  </si>
  <si>
    <t>Art Institute of Chicago</t>
  </si>
  <si>
    <t>1,438,158</t>
  </si>
  <si>
    <t>Saatchi Gallery</t>
  </si>
  <si>
    <t>1,413,605</t>
  </si>
  <si>
    <t>Pergamonmuseum</t>
  </si>
  <si>
    <t>Berlin</t>
  </si>
  <si>
    <t>1,410,000</t>
  </si>
  <si>
    <t>Gyeongju National Museum</t>
  </si>
  <si>
    <t>Gyeongju</t>
  </si>
  <si>
    <t>1,378,074</t>
  </si>
  <si>
    <t>Palazzo Ducale</t>
  </si>
  <si>
    <t>Venice</t>
  </si>
  <si>
    <t>1,323,508</t>
  </si>
  <si>
    <t>MusÃ©e du quai Branly</t>
  </si>
  <si>
    <t>1,310,148</t>
  </si>
  <si>
    <t>Institut ValenciÃ  d'Art Modern</t>
  </si>
  <si>
    <t>Valencia</t>
  </si>
  <si>
    <t>1,296,284</t>
  </si>
  <si>
    <t>National Museum of Contemporary Art</t>
  </si>
  <si>
    <t>1,284,038</t>
  </si>
  <si>
    <t>Museo Thyssen-Bornemisza</t>
  </si>
  <si>
    <t>1,255,281</t>
  </si>
  <si>
    <t>SAAM/Renwick</t>
  </si>
  <si>
    <t>1,231,983</t>
  </si>
  <si>
    <t>Galleria dell'Accademia</t>
  </si>
  <si>
    <t>1,225,254</t>
  </si>
  <si>
    <t>BrasÃ­lia</t>
  </si>
  <si>
    <t>1,215,763</t>
  </si>
  <si>
    <t>Royal Academy of Arts</t>
  </si>
  <si>
    <t>1,202,801</t>
  </si>
  <si>
    <t>Art Gallery of New South Wales</t>
  </si>
  <si>
    <t>Sydney</t>
  </si>
  <si>
    <t>1,195,176</t>
  </si>
  <si>
    <t>Parco del Castello di Miramare</t>
  </si>
  <si>
    <t>Trieste</t>
  </si>
  <si>
    <t>1,189,661</t>
  </si>
  <si>
    <t>1,188,839</t>
  </si>
  <si>
    <t>LACMA</t>
  </si>
  <si>
    <t>1,172,841</t>
  </si>
  <si>
    <t>Palazzo Reale</t>
  </si>
  <si>
    <t>Milan</t>
  </si>
  <si>
    <t>1,167,744</t>
  </si>
  <si>
    <t>Russian Museum</t>
  </si>
  <si>
    <t>1,144,164</t>
  </si>
  <si>
    <t>Upper and Lower Belvedere</t>
  </si>
  <si>
    <t>Vienna</t>
  </si>
  <si>
    <t>Austria</t>
  </si>
  <si>
    <t>1,108,658</t>
  </si>
  <si>
    <t>Museu Picasso</t>
  </si>
  <si>
    <t>Barcelona</t>
  </si>
  <si>
    <t>1,087,765</t>
  </si>
  <si>
    <t>National Art Museum of China</t>
  </si>
  <si>
    <t>Beijing</t>
  </si>
  <si>
    <t>1,080,000</t>
  </si>
  <si>
    <t>1,078,774</t>
  </si>
  <si>
    <t>Mori Art Museum</t>
  </si>
  <si>
    <t>1,066,088</t>
  </si>
  <si>
    <t>Kelvingrove Art Gallery and Museum</t>
  </si>
  <si>
    <t>Glasgow</t>
  </si>
  <si>
    <t>1,037,594</t>
  </si>
  <si>
    <t>Royal Ontario Museum</t>
  </si>
  <si>
    <t>Toronto</t>
  </si>
  <si>
    <t>1,025,920</t>
  </si>
  <si>
    <t>Athens</t>
  </si>
  <si>
    <t>1,020,462</t>
  </si>
  <si>
    <t>Guggenheim</t>
  </si>
  <si>
    <t>Bilbao</t>
  </si>
  <si>
    <t>1,014,104</t>
  </si>
  <si>
    <t>Riverside Museum</t>
  </si>
  <si>
    <t>1,008,092</t>
  </si>
  <si>
    <t>Museum of Fine Arts</t>
  </si>
  <si>
    <t>The National Art Center</t>
  </si>
  <si>
    <t xml:space="preserve"> Tokyo</t>
  </si>
  <si>
    <t>CaixaForum Barcelona</t>
  </si>
  <si>
    <t>Sao Paulo</t>
  </si>
  <si>
    <t>Rijksmuseum</t>
  </si>
  <si>
    <t>National Museum of Western Art</t>
  </si>
  <si>
    <t>Palazzo Strozzi</t>
  </si>
  <si>
    <t>Parco di Capodimonte</t>
  </si>
  <si>
    <t>Naples</t>
  </si>
  <si>
    <t>Australian Centre for the Moving Image</t>
  </si>
  <si>
    <t>Castel Sant'Angelo</t>
  </si>
  <si>
    <t>Rome</t>
  </si>
  <si>
    <t>CaixaForum Madrid</t>
  </si>
  <si>
    <t>Freer and Sackler Galleries</t>
  </si>
  <si>
    <t>Ashmolean Museum</t>
  </si>
  <si>
    <t>Oxford</t>
  </si>
  <si>
    <t>Museum of Contemporary Art Australia</t>
  </si>
  <si>
    <t>Philadelphia Museum of Art</t>
  </si>
  <si>
    <t>Museo Soumaya</t>
  </si>
  <si>
    <t>Mexico City</t>
  </si>
  <si>
    <t>Israel Museum</t>
  </si>
  <si>
    <t>Jerusalem</t>
  </si>
  <si>
    <t>Museu Nacional d'Art de Catalunya</t>
  </si>
  <si>
    <t>MusÃ©e de lâ€™Orangerie</t>
  </si>
  <si>
    <t>Art Gallery of Ontario</t>
  </si>
  <si>
    <t>Melbourne Museum</t>
  </si>
  <si>
    <t>Birmingham Museum &amp; Art Gallery</t>
  </si>
  <si>
    <t>National Gallery of Australia</t>
  </si>
  <si>
    <t>Canberra</t>
  </si>
  <si>
    <t>Hirshhorn Museum</t>
  </si>
  <si>
    <t>Tel Aviv Museum of Art</t>
  </si>
  <si>
    <t>Tel Aviv</t>
  </si>
  <si>
    <t>Palazzo Pitti</t>
  </si>
  <si>
    <t>MACBA</t>
  </si>
  <si>
    <t>Kunsthistorisches Museum</t>
  </si>
  <si>
    <t>Neues Museum</t>
  </si>
  <si>
    <t>Ullens Center for Contemporary Art</t>
  </si>
  <si>
    <t>Museo centrale del Risorgimento</t>
  </si>
  <si>
    <t>Reggia di Venaria Reale</t>
  </si>
  <si>
    <t>Venaria</t>
  </si>
  <si>
    <t>Complesso del Vittoriano</t>
  </si>
  <si>
    <t>Istanbul Modern</t>
  </si>
  <si>
    <t>Istanbul</t>
  </si>
  <si>
    <t>National Gallery of Ireland</t>
  </si>
  <si>
    <t>Dublin</t>
  </si>
  <si>
    <t>Ireland</t>
  </si>
  <si>
    <t>MusÃ©e des Arts DÃ©coratifs</t>
  </si>
  <si>
    <t>Gwangju National Museum</t>
  </si>
  <si>
    <t>Gwangju</t>
  </si>
  <si>
    <t>Visitors (2012)</t>
  </si>
  <si>
    <t>Admission</t>
  </si>
  <si>
    <t>9,720,000</t>
  </si>
  <si>
    <t>Paid ($15)</t>
  </si>
  <si>
    <t>National Museum of Natural History</t>
  </si>
  <si>
    <t>7,600,000</t>
  </si>
  <si>
    <t>Free</t>
  </si>
  <si>
    <t>National Air and Space Museum</t>
  </si>
  <si>
    <t>6,800,000</t>
  </si>
  <si>
    <t>The Metropolitan Museum of Art</t>
  </si>
  <si>
    <t>6,116,000</t>
  </si>
  <si>
    <t>5,576,000</t>
  </si>
  <si>
    <t>5,319,000</t>
  </si>
  <si>
    <t>5,164,000</t>
  </si>
  <si>
    <t>Vatican</t>
  </si>
  <si>
    <t>5,065,000</t>
  </si>
  <si>
    <t>Paid ($21)</t>
  </si>
  <si>
    <t>5,000,000</t>
  </si>
  <si>
    <t>Paid ($19)</t>
  </si>
  <si>
    <t>4,936,000</t>
  </si>
  <si>
    <t>National Museum of American History</t>
  </si>
  <si>
    <t>4,800,000</t>
  </si>
  <si>
    <t>National Palace Museum (Taiwan)</t>
  </si>
  <si>
    <t>4,361,000</t>
  </si>
  <si>
    <t>Paid ($5)</t>
  </si>
  <si>
    <t>National Museum of China</t>
  </si>
  <si>
    <t>4,100,000</t>
  </si>
  <si>
    <t>Paid ($17)</t>
  </si>
  <si>
    <t>Musee D’Orsay</t>
  </si>
  <si>
    <t>3,579,000</t>
  </si>
  <si>
    <t>Paid ($12)</t>
  </si>
  <si>
    <t>Victora &amp; Albert Museum</t>
  </si>
  <si>
    <t>3,232,000</t>
  </si>
  <si>
    <t>3,128,000</t>
  </si>
  <si>
    <t>Geological Museum of China</t>
  </si>
  <si>
    <t>3,000,000</t>
  </si>
  <si>
    <t>Science Museum</t>
  </si>
  <si>
    <t>2,990,000</t>
  </si>
  <si>
    <r>
      <t>Gallery space in 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(sq ft)</t>
    </r>
  </si>
  <si>
    <t>Year established</t>
  </si>
  <si>
    <t> France</t>
  </si>
  <si>
    <t> Russia</t>
  </si>
  <si>
    <t> China</t>
  </si>
  <si>
    <t> United States</t>
  </si>
  <si>
    <t>Vatican City (Rome)</t>
  </si>
  <si>
    <t>  Vatican City</t>
  </si>
  <si>
    <t> Japan</t>
  </si>
  <si>
    <t>National Museum of Anthropology</t>
  </si>
  <si>
    <t> Mexico</t>
  </si>
  <si>
    <t>Victoria and Albert Museum</t>
  </si>
  <si>
    <t> United Kingdom</t>
  </si>
  <si>
    <t> South Korea</t>
  </si>
  <si>
    <t>Nanjing Museum</t>
  </si>
  <si>
    <t>Nanjing</t>
  </si>
  <si>
    <t>MASS MoCA</t>
  </si>
  <si>
    <t>North Adams</t>
  </si>
  <si>
    <t>Cinquantenaire Museum</t>
  </si>
  <si>
    <t>Brussels</t>
  </si>
  <si>
    <t> Belgium</t>
  </si>
  <si>
    <t>Three Gorges Museum</t>
  </si>
  <si>
    <t>Chongqing</t>
  </si>
  <si>
    <t> Israel</t>
  </si>
  <si>
    <t>National Gallery Singapore</t>
  </si>
  <si>
    <t> Singapore</t>
  </si>
  <si>
    <t>Minneapolis Institute of Art</t>
  </si>
  <si>
    <t>Minneapolis</t>
  </si>
  <si>
    <t>Arsenal (Biennale)</t>
  </si>
  <si>
    <t> Italy</t>
  </si>
  <si>
    <t>Musée National d'Art Moderne</t>
  </si>
  <si>
    <t>Musée d'Orsay</t>
  </si>
  <si>
    <t>Ōtsuka Museum of Art</t>
  </si>
  <si>
    <t>Naruto</t>
  </si>
  <si>
    <t>San Francisco Museum of Modern Art</t>
  </si>
  <si>
    <t>Museo del Prado</t>
  </si>
  <si>
    <t> Spain</t>
  </si>
  <si>
    <t>Denver Art Museum</t>
  </si>
  <si>
    <t>Egyptian Museum</t>
  </si>
  <si>
    <t>Cairo</t>
  </si>
  <si>
    <t> Egypt</t>
  </si>
  <si>
    <t>Museo di Capodimonte</t>
  </si>
  <si>
    <t>Matarazzo Ciccillo (Bienal)</t>
  </si>
  <si>
    <t>São Paulo</t>
  </si>
  <si>
    <t> Brazil</t>
  </si>
  <si>
    <t>Shandong Museum</t>
  </si>
  <si>
    <t>Jinan</t>
  </si>
  <si>
    <t>Dia:Beacon</t>
  </si>
  <si>
    <t>Beacon, New York</t>
  </si>
  <si>
    <t>Dallas Museum of Art</t>
  </si>
  <si>
    <t>Museo Reina Sofía</t>
  </si>
  <si>
    <t>MMCA, Gwacheon</t>
  </si>
  <si>
    <t>Gwacheon</t>
  </si>
  <si>
    <t>Detroit Institute of Arts</t>
  </si>
  <si>
    <t> Austria</t>
  </si>
  <si>
    <t>Tokyo National Art Center</t>
  </si>
  <si>
    <t>National Taiwan Museum of Fine Arts</t>
  </si>
  <si>
    <t>Taichung</t>
  </si>
  <si>
    <t> Taiwan</t>
  </si>
  <si>
    <t>National Gallery in Prague (Veletržní)</t>
  </si>
  <si>
    <t>Prague</t>
  </si>
  <si>
    <t> Czech Republic</t>
  </si>
  <si>
    <t>Indianapolis Museum of Art</t>
  </si>
  <si>
    <t>Bavarian National Museum</t>
  </si>
  <si>
    <t>Munich</t>
  </si>
  <si>
    <t> Germany</t>
  </si>
  <si>
    <t>Brooklyn Museum</t>
  </si>
  <si>
    <t>Montreal Museum of Fine Arts</t>
  </si>
  <si>
    <t>Montreal</t>
  </si>
  <si>
    <t> Canada</t>
  </si>
  <si>
    <t>National Gallery of Victoria (St Kilda Road)</t>
  </si>
  <si>
    <t> Australia</t>
  </si>
  <si>
    <t>Palais de Tokyo</t>
  </si>
  <si>
    <t>Salar Jung Museum</t>
  </si>
  <si>
    <t>Hyderabad</t>
  </si>
  <si>
    <t> India</t>
  </si>
  <si>
    <t>Virginia Museum of Fine Arts</t>
  </si>
  <si>
    <t>Cleveland Museum of Art</t>
  </si>
  <si>
    <t>National Gallery of Canada</t>
  </si>
  <si>
    <t>Ottawa</t>
  </si>
  <si>
    <t>Hamburger Kunsthalle</t>
  </si>
  <si>
    <t>Hamburg</t>
  </si>
  <si>
    <t>Museum Boijmans Van Beuningen</t>
  </si>
  <si>
    <t>Rotterdam</t>
  </si>
  <si>
    <t> Netherlands</t>
  </si>
  <si>
    <t>Houston Museum of Fine Arts</t>
  </si>
  <si>
    <t>National Gallery of Modern Art</t>
  </si>
  <si>
    <t>New Delhi</t>
  </si>
  <si>
    <t>Palais des Beaux-Arts de Lille</t>
  </si>
  <si>
    <t>Lille</t>
  </si>
  <si>
    <t>Pinakothek der Moderne</t>
  </si>
  <si>
    <t>Tretyakov Gallery (Krymsky Val)</t>
  </si>
  <si>
    <t>Milwaukee Art Museum</t>
  </si>
  <si>
    <t>Taipei Fine Arts Museum</t>
  </si>
  <si>
    <t>Capitoline Museums</t>
  </si>
  <si>
    <t>Fondazione Prada</t>
  </si>
  <si>
    <t>Los Angeles County Museum of Art</t>
  </si>
  <si>
    <t>MAC-University of São Paulo</t>
  </si>
  <si>
    <t>Pergamon Museum</t>
  </si>
  <si>
    <t>Shaanxi History Museum</t>
  </si>
  <si>
    <t>Xi'an</t>
  </si>
  <si>
    <t>HangarBicocca</t>
  </si>
  <si>
    <t>Tibet Museum</t>
  </si>
  <si>
    <t>Lhasa</t>
  </si>
  <si>
    <t>Portland Art Museum</t>
  </si>
  <si>
    <t>Portland, Oregon</t>
  </si>
  <si>
    <t>Carnegie Museum of Art</t>
  </si>
  <si>
    <t>Hamburger Bahnhof</t>
  </si>
  <si>
    <t>Kunstmuseum Basel</t>
  </si>
  <si>
    <t>Basel</t>
  </si>
  <si>
    <t>  Switzerland</t>
  </si>
  <si>
    <t>MAXXI</t>
  </si>
  <si>
    <t>Museo Egizio</t>
  </si>
  <si>
    <t>Turin</t>
  </si>
  <si>
    <t>Museum Kunstpalast</t>
  </si>
  <si>
    <t>Düsseldorf</t>
  </si>
  <si>
    <t>MMCA, Seoul</t>
  </si>
  <si>
    <t>National Museum, Poznań</t>
  </si>
  <si>
    <t>Poznań</t>
  </si>
  <si>
    <t> Poland</t>
  </si>
  <si>
    <t>Saint-Petersburg</t>
  </si>
  <si>
    <t>Saint Louis Art Museum</t>
  </si>
  <si>
    <t>St. Louis</t>
  </si>
  <si>
    <t>Museums of Sforza Castle</t>
  </si>
  <si>
    <t>National Archaeological Museum</t>
  </si>
  <si>
    <t>Musée Fabre</t>
  </si>
  <si>
    <t>Montpellier</t>
  </si>
  <si>
    <t>Bardo National Museum</t>
  </si>
  <si>
    <t>Tunis</t>
  </si>
  <si>
    <t> Tunisia</t>
  </si>
  <si>
    <t>Cité de l'Architecture et du Patrimoine</t>
  </si>
  <si>
    <t>National Museum, New Delhi</t>
  </si>
  <si>
    <t>Oslo</t>
  </si>
  <si>
    <t> Norway</t>
  </si>
  <si>
    <t>Power Station of Art (Biennale)</t>
  </si>
  <si>
    <t>Smithsonian American Art Museum</t>
  </si>
  <si>
    <t>Musée du quai Branly</t>
  </si>
  <si>
    <t>Liaoning Provincial Museum</t>
  </si>
  <si>
    <t>Shenyang</t>
  </si>
  <si>
    <t>Gallerie di Piazza Scala</t>
  </si>
  <si>
    <t>Galleria Nazionale d'Arte Moderna</t>
  </si>
  <si>
    <t>Gemäldegalerie</t>
  </si>
  <si>
    <t>Louvre Abu Dhabi</t>
  </si>
  <si>
    <t>Abu Dhabi</t>
  </si>
  <si>
    <t> UAE</t>
  </si>
  <si>
    <t>Museum Ludwig</t>
  </si>
  <si>
    <t>Cologne</t>
  </si>
  <si>
    <t>Petit Palais</t>
  </si>
  <si>
    <t>Pushkin Museum</t>
  </si>
  <si>
    <t>Stedelijk Museum</t>
  </si>
  <si>
    <t>Thyssen-Bornemisza Museum</t>
  </si>
  <si>
    <t>Toledo Museum of Art</t>
  </si>
  <si>
    <t>Toledo, Ohio</t>
  </si>
  <si>
    <t>Tretyakov Gallery</t>
  </si>
  <si>
    <t>de Young</t>
  </si>
  <si>
    <t>Nelson-Atkins Museum of Art</t>
  </si>
  <si>
    <t>height (m)</t>
  </si>
  <si>
    <t>height (ft)</t>
  </si>
  <si>
    <t>Bowfell</t>
  </si>
  <si>
    <t>Crag Hill</t>
  </si>
  <si>
    <t>Old Man of Coniston</t>
  </si>
  <si>
    <t>High Raise (High Street)</t>
  </si>
  <si>
    <t>Harter Fell</t>
  </si>
  <si>
    <t>Stony Cove Pike</t>
  </si>
  <si>
    <t>High Crag</t>
  </si>
  <si>
    <t>Pike of Blisco</t>
  </si>
  <si>
    <t>Tarn Crag (Far Eastern Fells)</t>
  </si>
  <si>
    <t>The Nab</t>
  </si>
  <si>
    <t>Hartsop above How</t>
  </si>
  <si>
    <t>Baystones</t>
  </si>
  <si>
    <t>Catbells</t>
  </si>
  <si>
    <t>rank</t>
  </si>
  <si>
    <t>Harter Fell, Eskdale</t>
  </si>
  <si>
    <t>High Raise, Langdale</t>
  </si>
  <si>
    <t>Harter Fell, Mardale</t>
  </si>
  <si>
    <t>FRCC</t>
  </si>
  <si>
    <t>AW</t>
  </si>
  <si>
    <t>Fell</t>
  </si>
  <si>
    <t>Feet</t>
  </si>
  <si>
    <t>Included in Walks</t>
  </si>
  <si>
    <t>Eskdale and the Scafells &amp; Bowfell and the Scafells &amp; Scafell Pike from Seathwaite &amp; Scafell Pike from Langdale &amp; Peakbagging from Langdale</t>
  </si>
  <si>
    <t>Eskdale and the Scafells &amp; Bowfell and the Scafells</t>
  </si>
  <si>
    <t>Helvellyn to Great Dodd &amp; Catstye Cam to Dollywagon Pike &amp; Helvellyn and Sheffield Pike</t>
  </si>
  <si>
    <t>Ill Crag</t>
  </si>
  <si>
    <t>Requires a minor detour from any of the Scafell Pike walks</t>
  </si>
  <si>
    <t>Skiddaw from Millbeck &amp; Skiddaw via Longside Edge &amp; Skiddaw via Lonscale Fell</t>
  </si>
  <si>
    <t>Broad Crag</t>
  </si>
  <si>
    <t>Helvellyn Lower Man</t>
  </si>
  <si>
    <t>Helvellyn and Great Dodd &amp; Helvellyn and Sheffield Pike</t>
  </si>
  <si>
    <t>Bowfell and the Scafells &amp; Scafell Pike from Langdale &amp; Pike o'Blisco to Esk Pike &amp; Peakbagging from Langdale</t>
  </si>
  <si>
    <t>Great Gable, Pillar and Red Pike &amp; An Ennerdale Round</t>
  </si>
  <si>
    <t>Catstye Cam to Dollywagon Pike</t>
  </si>
  <si>
    <t>A Deepdale Round &amp; Fairfield Horseshoe</t>
  </si>
  <si>
    <t>Blencathra (Hall's Fell) &amp; Blencathra (Sharp Edge)</t>
  </si>
  <si>
    <t>Skiddaw from Millbeck &amp; Skiddaw via Lonscale Fell</t>
  </si>
  <si>
    <t>Pike o'Blisco to Esk Pike &amp; Peakbagging from Langdale</t>
  </si>
  <si>
    <t>Dollywagon Pike</t>
  </si>
  <si>
    <t>Catstye Cam to Dollywagon Pike &amp; Dollywagon Pike and St. Sunday Crag</t>
  </si>
  <si>
    <t>Hart Side and Great Dodd &amp; Helvellyn to Great Dodd</t>
  </si>
  <si>
    <t>A Coledale Round &amp; A Gasgale Round</t>
  </si>
  <si>
    <t>Hart Side and Great Dodd &amp; Helvellyn to Great Dodd &amp; Helvellyn and Sheffield Pike</t>
  </si>
  <si>
    <t>Little Scoat Fell</t>
  </si>
  <si>
    <t>A Netherbeck Round &amp; Great Gable, Pillar and Red Pike &amp; An Ennerdale Round</t>
  </si>
  <si>
    <t>Dollywagon Pike and St. Sunday Crag &amp; A Deepdale Round</t>
  </si>
  <si>
    <t>Crag Hill / Eel Crag</t>
  </si>
  <si>
    <t>Mardale Ill Bell to Wether Hill &amp; Kidsty Pike to Caudale Moor</t>
  </si>
  <si>
    <t>A Netherbeck Round &amp; Great Gable, Pillar and Red Pike</t>
  </si>
  <si>
    <t>Red Screes and Hart Crag &amp; A Deepdale Round &amp; Fairfield Horseshoe</t>
  </si>
  <si>
    <t>High Stile Ridge &amp; An Ennerdale Round</t>
  </si>
  <si>
    <t>Coniston Old Man</t>
  </si>
  <si>
    <t>Coniston Fells I &amp; Coniston Fells II</t>
  </si>
  <si>
    <t>High Raise (Martindale)</t>
  </si>
  <si>
    <t>Mardale Ill Bell to Wether Hill</t>
  </si>
  <si>
    <t>An Ennerdale Round</t>
  </si>
  <si>
    <t>Scafell Pike from Seathwaite</t>
  </si>
  <si>
    <t>A Netherbeck Round &amp; An Ennerdale Round</t>
  </si>
  <si>
    <t>Red Screes and Hart Crag &amp; A Deepdale Round &amp; Red Screes and Dove Crag &amp; Fairfield Horseshoe</t>
  </si>
  <si>
    <t>A Coledale Round;</t>
  </si>
  <si>
    <t>Peak-bagging from Langdale &amp; Glaramara and Langstrath</t>
  </si>
  <si>
    <t>Kidsty Pike to Caudale Moor &amp; A Kentmere Horseshoe &amp; Yoke Spur and Caudale Moor</t>
  </si>
  <si>
    <t>Glaramara and Langstrath</t>
  </si>
  <si>
    <t>A Kentmere Horseshoe &amp; A Longsleddale Round</t>
  </si>
  <si>
    <t>Red Screes and Hart Crag &amp; Red Screes and Dove Crag</t>
  </si>
  <si>
    <t>A Coledale Round</t>
  </si>
  <si>
    <t>A Gasgale Round</t>
  </si>
  <si>
    <t>Coniston Fells II</t>
  </si>
  <si>
    <t>Fairfield Horseshoe</t>
  </si>
  <si>
    <t>Kidsty Pike to Caudale Moor &amp; Yoke Spur and Caudale Moor</t>
  </si>
  <si>
    <t>Langdale Pikes and Sergeant Man</t>
  </si>
  <si>
    <t>Coniston Fells I</t>
  </si>
  <si>
    <t>Mardale Ill Bell to Wether Hill &amp; A Kentmere Horseshoe</t>
  </si>
  <si>
    <t>A Kentmere Horseshoe &amp; Yoke Spur and Caudale Moor</t>
  </si>
  <si>
    <t>Hart Side and Great Dodd</t>
  </si>
  <si>
    <t>Dale Head and Robinson &amp; Robinson and Dale Head</t>
  </si>
  <si>
    <t>Skiddaw from Millbeck &amp; Skiddaw via Longside Edge</t>
  </si>
  <si>
    <t>The Knott to Place Fell &amp; Kidsty Pike to Caudale Moor</t>
  </si>
  <si>
    <t>Langdale Pikes and Sergeant Man &amp; Peak-bagging from Langdale</t>
  </si>
  <si>
    <t>Dollywagon Pike and St. Sunday Crag</t>
  </si>
  <si>
    <t>Skiddaw via Longside Edge</t>
  </si>
  <si>
    <t>Loughrigg, Sergeant Man and Tarn Crag &amp; Langdale Pikes and Sergeant Man</t>
  </si>
  <si>
    <t xml:space="preserve">A Kentmere Horseshoe &amp; A Longsleddale Round </t>
  </si>
  <si>
    <t>Helvellyn and Sheffield Pike</t>
  </si>
  <si>
    <t>Skiddaw via Lonscale Fell</t>
  </si>
  <si>
    <t xml:space="preserve">A Longsleddale Round </t>
  </si>
  <si>
    <t>Carrock Fell to Great Calva</t>
  </si>
  <si>
    <t>Pike o'Stickle</t>
  </si>
  <si>
    <t>Pike o'Blisco</t>
  </si>
  <si>
    <t>Pike o'Blisco to Esk Pike</t>
  </si>
  <si>
    <t>The Knott to Place Fell &amp; Beda Fell and The Nab</t>
  </si>
  <si>
    <t>A Netherbeck Round</t>
  </si>
  <si>
    <t>A Gasgale Round variation</t>
  </si>
  <si>
    <t>The Knott to Place Fell</t>
  </si>
  <si>
    <t>Red Screes and Hart Crag</t>
  </si>
  <si>
    <t>Robinson and Dale Head</t>
  </si>
  <si>
    <t>Rosset Pike</t>
  </si>
  <si>
    <t>Peak-bagging from Langdale</t>
  </si>
  <si>
    <t>Iron Crag</t>
  </si>
  <si>
    <t>Walna Scar</t>
  </si>
  <si>
    <t>Kidsty Pike to Caudale Moor</t>
  </si>
  <si>
    <t>Black Combe</t>
  </si>
  <si>
    <t>Hay Stacks</t>
  </si>
  <si>
    <t>Hartstop Above How</t>
  </si>
  <si>
    <t>Beda Fell and The Nab</t>
  </si>
  <si>
    <t>Whitfell</t>
  </si>
  <si>
    <t>minor detour from A Coledale Round</t>
  </si>
  <si>
    <t>The Knott to Place Fell &amp; a brief detour from Beda Fell and The Nab</t>
  </si>
  <si>
    <t>minor detours from The Knott to Place Fell &amp; Beda Fell and The Nab</t>
  </si>
  <si>
    <t>Loughrigg, Sergeant Man and Tarn Crag</t>
  </si>
  <si>
    <t>Buck Barrow</t>
  </si>
  <si>
    <t>Carling Knott</t>
  </si>
  <si>
    <t>Bessyboot</t>
  </si>
  <si>
    <t>High Wether Howe</t>
  </si>
  <si>
    <t>Caw</t>
  </si>
  <si>
    <t>Beda Head</t>
  </si>
  <si>
    <t>Hare Shaw</t>
  </si>
  <si>
    <t>Stainton Pike</t>
  </si>
  <si>
    <t>Yoadcastle</t>
  </si>
  <si>
    <t>Hesk Fell</t>
  </si>
  <si>
    <t>Graystones / Kirk Fel</t>
  </si>
  <si>
    <t>extended version of Robinson and Dale Head</t>
  </si>
  <si>
    <t>Knock Murton</t>
  </si>
  <si>
    <t>Brunt Knott</t>
  </si>
  <si>
    <t>Great Worm Crag</t>
  </si>
  <si>
    <t>Green Quarter Fell</t>
  </si>
  <si>
    <t>Whiteside Pike</t>
  </si>
  <si>
    <t>Heughscar Hill</t>
  </si>
  <si>
    <t>Stickle Pike</t>
  </si>
  <si>
    <t>The Pike</t>
  </si>
  <si>
    <t>Minor detour from Yoke Spur and Caudale Moor</t>
  </si>
  <si>
    <t>Knipescar Common</t>
  </si>
  <si>
    <t>Swainson Knott</t>
  </si>
  <si>
    <t>Top o'Selside</t>
  </si>
  <si>
    <t>Gummer's How</t>
  </si>
  <si>
    <t>Carron Crag</t>
  </si>
  <si>
    <t>Ponsonby Fell</t>
  </si>
  <si>
    <t>Ht (feet)</t>
  </si>
  <si>
    <t>Ht (metres)</t>
  </si>
  <si>
    <t>Grid Ref</t>
  </si>
  <si>
    <t>NY 215072</t>
  </si>
  <si>
    <t>NY 207064</t>
  </si>
  <si>
    <t>NY 341151</t>
  </si>
  <si>
    <t>NY 261291</t>
  </si>
  <si>
    <t>NY 245064</t>
  </si>
  <si>
    <t>NY 211103</t>
  </si>
  <si>
    <t>NY 171121</t>
  </si>
  <si>
    <t>NY 358117</t>
  </si>
  <si>
    <t>NY 323277</t>
  </si>
  <si>
    <t>NY 248049</t>
  </si>
  <si>
    <t>NY 441111</t>
  </si>
  <si>
    <t>NY 157117</t>
  </si>
  <si>
    <t>NY 169147</t>
  </si>
  <si>
    <t>SD 272978</t>
  </si>
  <si>
    <t>NY 198225</t>
  </si>
  <si>
    <t>NY 247105</t>
  </si>
  <si>
    <t>SD 263978</t>
  </si>
  <si>
    <t>NY 396088</t>
  </si>
  <si>
    <t>NY 288011</t>
  </si>
  <si>
    <t>NY 160154</t>
  </si>
  <si>
    <t>NY 202168</t>
  </si>
  <si>
    <t>NY 282074</t>
  </si>
  <si>
    <t>SD 219997</t>
  </si>
  <si>
    <t>NY 217209</t>
  </si>
  <si>
    <t>NY 194132</t>
  </si>
  <si>
    <t>Lingmoor</t>
  </si>
  <si>
    <t>NY 327093</t>
  </si>
  <si>
    <t>NY 244199</t>
  </si>
  <si>
    <t>NY 277213</t>
  </si>
  <si>
    <t>NY 347051</t>
  </si>
  <si>
    <t>NY 249159</t>
  </si>
  <si>
    <t>Lake Name</t>
  </si>
  <si>
    <t>Surface area</t>
  </si>
  <si>
    <t>Water volume</t>
  </si>
  <si>
    <t>Average depth</t>
  </si>
  <si>
    <t>Major settlements</t>
  </si>
  <si>
    <t>"['Buffalo, NY','Erie, PA','Cleveland, OH','Lorain, OH','Toledo, OH','Sandusky, OH']"</t>
  </si>
  <si>
    <t>"['Alpena, MI','Bay City, MI','Owen Sound, ON','Port Huron, MI','Sarnia, ON']"</t>
  </si>
  <si>
    <t>"['Chicago, IL','Gary, IN','Green Bay, WI','Sheboygan, WI','Milwaukee, WI','Kenosha, WI','Racine, WI','Muskegon, MI','Traverse City, MI']"</t>
  </si>
  <si>
    <t>"['Hamilton, ON','Kingston, ON','Mississauga, ON','Oshawa, ON','Rochester, NY','Toronto, ON']"</t>
  </si>
  <si>
    <t>"['Duluth, MN','Marquette, MI','Sault Ste. Marie, MI','Sault Ste. Marie, ON','Superior, WI','Thunder Bay, ON']"</t>
  </si>
  <si>
    <t>1.02</t>
  </si>
  <si>
    <t>1.22</t>
  </si>
  <si>
    <t>RANG</t>
  </si>
  <si>
    <t>Facebook-Fans</t>
  </si>
  <si>
    <t>Gallery space in m2 (sq ft)</t>
  </si>
  <si>
    <t>Citations</t>
  </si>
  <si>
    <t>Minimum correlation = 0,5</t>
  </si>
  <si>
    <t>Minimum correlation = 0,6</t>
  </si>
  <si>
    <t>Minimum correlation = 0,7</t>
  </si>
  <si>
    <t>Minimum correlation = 0,8</t>
  </si>
  <si>
    <t>Minimum correlation = 0,9</t>
  </si>
  <si>
    <t>Max,-Tiefe-(m)</t>
  </si>
  <si>
    <t>No,</t>
  </si>
  <si>
    <t>MIX</t>
  </si>
  <si>
    <t>Tables to Exten</t>
  </si>
  <si>
    <t>30669564.0</t>
  </si>
  <si>
    <t>40007354.0</t>
  </si>
  <si>
    <t>37338942.0</t>
  </si>
  <si>
    <t>50167485.0</t>
  </si>
  <si>
    <t>31357388.0</t>
  </si>
  <si>
    <t>88032086.0</t>
  </si>
  <si>
    <t>25512086.0</t>
  </si>
  <si>
    <t>64158343.0</t>
  </si>
  <si>
    <t>56030457.0</t>
  </si>
  <si>
    <t>45915069.0</t>
  </si>
  <si>
    <t>33399207.0</t>
  </si>
  <si>
    <t>40469012.0</t>
  </si>
  <si>
    <t>56520843.0</t>
  </si>
  <si>
    <t>33886025.0</t>
  </si>
  <si>
    <t>33451383.0</t>
  </si>
  <si>
    <t>27301662.0</t>
  </si>
  <si>
    <t>33693649.0</t>
  </si>
  <si>
    <t>34536666.0</t>
  </si>
  <si>
    <t>37824982.0</t>
  </si>
  <si>
    <t>31227512.0</t>
  </si>
  <si>
    <t>22300580002.0</t>
  </si>
  <si>
    <t>Iliamna Lake</t>
  </si>
  <si>
    <t>Wostoksee</t>
  </si>
  <si>
    <t>Lake-Champlain</t>
  </si>
  <si>
    <t>Media</t>
  </si>
  <si>
    <t>Physical Review</t>
  </si>
  <si>
    <t>62.0</t>
  </si>
  <si>
    <t>Proceedings of the National Academy of Sciences of the United States of America</t>
  </si>
  <si>
    <t>1080.0</t>
  </si>
  <si>
    <t>BIOLOGICAL PSYCHIATRY</t>
  </si>
  <si>
    <t>CANCER RESEARCH</t>
  </si>
  <si>
    <t>JAMA-JOURNAL OF THE AMERICAN MEDICAL ASSOCIATION</t>
  </si>
  <si>
    <t>JOURNAL OF BACTERIOLOGY</t>
  </si>
  <si>
    <t>JOURNAL OF BIOLOGICAL CHEMISTRY</t>
  </si>
  <si>
    <t>JOURNAL OF ORGANIC CHEMISTRY</t>
  </si>
  <si>
    <t>JOURNAL OF PHARMACOLOGY AND EXPERIMENTAL THERAPEUTICS</t>
  </si>
  <si>
    <t>JOURNAL OF NEUROSCIENCE</t>
  </si>
  <si>
    <t>Physical Review Letters</t>
  </si>
  <si>
    <t>WALL STREET JOURNAL USA</t>
  </si>
  <si>
    <t>NATURE</t>
  </si>
  <si>
    <t>1732.0</t>
  </si>
  <si>
    <t>MOLECULAR AND CELLULAR BIOLOGY</t>
  </si>
  <si>
    <t>312.0</t>
  </si>
  <si>
    <t>MONTHLY NOTICES OF THE ROYAL ASTRONOMICAL SOCIETY</t>
  </si>
  <si>
    <t>181.0</t>
  </si>
  <si>
    <t>The Journal of Immunology</t>
  </si>
  <si>
    <t>Science</t>
  </si>
  <si>
    <t>1780.0</t>
  </si>
  <si>
    <t>Journal of Geophysical Research</t>
  </si>
  <si>
    <t>Dainik Jagran</t>
  </si>
  <si>
    <t>Dinakaran</t>
  </si>
  <si>
    <t>More Media &gt;&gt;</t>
  </si>
  <si>
    <t>IBN live</t>
  </si>
  <si>
    <t>Dainik Bhaskar</t>
  </si>
  <si>
    <t>BIOCHEMICAL AND BIOPHYSICAL RESEARCH COMMUNICATIONS</t>
  </si>
  <si>
    <t>AMERICAN JOURNAL OF GASTROENTEROLOGY</t>
  </si>
  <si>
    <t>foxnews</t>
  </si>
  <si>
    <t>Times of India</t>
  </si>
  <si>
    <t>USA Today</t>
  </si>
  <si>
    <t>Journal of the American Chemical Society</t>
  </si>
  <si>
    <t>358.0</t>
  </si>
  <si>
    <t>The New York Times</t>
  </si>
  <si>
    <t>JOURNAL OF VIROLOGY</t>
  </si>
  <si>
    <t>Malayala Manorama</t>
  </si>
  <si>
    <t>Dina Thanthi</t>
  </si>
  <si>
    <t>Dinamalar</t>
  </si>
  <si>
    <t>Punjab Kesari</t>
  </si>
  <si>
    <t>5576000.0</t>
  </si>
  <si>
    <t>257.0</t>
  </si>
  <si>
    <t>1753.0</t>
  </si>
  <si>
    <t>The Getty Museum</t>
  </si>
  <si>
    <t>4936000.0</t>
  </si>
  <si>
    <t>5319000.0</t>
  </si>
  <si>
    <t>12427.0</t>
  </si>
  <si>
    <t>2000.0</t>
  </si>
  <si>
    <t>525.0</t>
  </si>
  <si>
    <t>1365.0</t>
  </si>
  <si>
    <t>219.0</t>
  </si>
  <si>
    <t>218.0</t>
  </si>
  <si>
    <t>133.0</t>
  </si>
  <si>
    <t>113.0</t>
  </si>
  <si>
    <t>57.0</t>
  </si>
  <si>
    <t>175.0</t>
  </si>
  <si>
    <t>395.0</t>
  </si>
  <si>
    <t>223.0</t>
  </si>
  <si>
    <t>41.0</t>
  </si>
  <si>
    <t>230.0</t>
  </si>
  <si>
    <t>228.0</t>
  </si>
  <si>
    <t>122.0</t>
  </si>
  <si>
    <t>161.0</t>
  </si>
  <si>
    <t>1647.0</t>
  </si>
  <si>
    <t>187.0</t>
  </si>
  <si>
    <t>131.0</t>
  </si>
  <si>
    <t>239.0</t>
  </si>
  <si>
    <t>69.0</t>
  </si>
  <si>
    <t>225.0</t>
  </si>
  <si>
    <t>217.0</t>
  </si>
  <si>
    <t>142.0</t>
  </si>
  <si>
    <t>39.0</t>
  </si>
  <si>
    <t>220.0</t>
  </si>
  <si>
    <t>216.0</t>
  </si>
  <si>
    <t>237.0</t>
  </si>
  <si>
    <t>179.0</t>
  </si>
  <si>
    <t>241.0</t>
  </si>
  <si>
    <t>234.0</t>
  </si>
  <si>
    <t>112.0</t>
  </si>
  <si>
    <t>167.0</t>
  </si>
  <si>
    <t>148.0</t>
  </si>
  <si>
    <t>224.0</t>
  </si>
  <si>
    <t>221.0</t>
  </si>
  <si>
    <t>231.0</t>
  </si>
  <si>
    <t>359.0</t>
  </si>
  <si>
    <t>232.0</t>
  </si>
  <si>
    <t>233.0</t>
  </si>
  <si>
    <t>Average density of Columns</t>
  </si>
  <si>
    <t>Precision</t>
  </si>
  <si>
    <t>Recall</t>
  </si>
  <si>
    <t>F1</t>
  </si>
  <si>
    <t>balance of funding carried forward to 2003 ?</t>
  </si>
  <si>
    <t>first preference votes</t>
  </si>
  <si>
    <t>funding received under the electoral acts for 2005 ?</t>
  </si>
  <si>
    <t>funding received under the electoral acts for 2006 ?</t>
  </si>
  <si>
    <t>funding received under the party leaders allowance for 2005 ?</t>
  </si>
  <si>
    <t>funding received under the party leaders allowance for 2006 ?</t>
  </si>
  <si>
    <t>overall total exchequer funding for 2002 ?</t>
  </si>
  <si>
    <t>overall total funding available for spending in 2002 ?</t>
  </si>
  <si>
    <t>total exchequer funding for 2005 ?</t>
  </si>
  <si>
    <t>total exchequer funding for 2006 ?</t>
  </si>
  <si>
    <t>total funding received ?</t>
  </si>
  <si>
    <t>1209218.0</t>
  </si>
  <si>
    <t>1249867.0</t>
  </si>
  <si>
    <t>1292323.0</t>
  </si>
  <si>
    <t>2124237.0</t>
  </si>
  <si>
    <t>2199254.0</t>
  </si>
  <si>
    <t>2710359.0</t>
  </si>
  <si>
    <t>309644.0</t>
  </si>
  <si>
    <t>5703.0</t>
  </si>
  <si>
    <t>317782.0</t>
  </si>
  <si>
    <t>319165.0</t>
  </si>
  <si>
    <t>146218.0</t>
  </si>
  <si>
    <t>645799.0</t>
  </si>
  <si>
    <t>665286.0</t>
  </si>
  <si>
    <t>74995.0</t>
  </si>
  <si>
    <t>312207.0</t>
  </si>
  <si>
    <t>452186.0</t>
  </si>
  <si>
    <t>321060.0</t>
  </si>
  <si>
    <t>184022.0</t>
  </si>
  <si>
    <t>773246.0</t>
  </si>
  <si>
    <t>4278.0</t>
  </si>
  <si>
    <t>228314.0</t>
  </si>
  <si>
    <t>440413.0</t>
  </si>
  <si>
    <t>324948.0</t>
  </si>
  <si>
    <t>TP</t>
  </si>
  <si>
    <t>FP</t>
  </si>
  <si>
    <t>FN</t>
  </si>
  <si>
    <t>precision</t>
  </si>
  <si>
    <t>recall</t>
  </si>
  <si>
    <t>Evaluation</t>
  </si>
  <si>
    <t>Fused Table</t>
  </si>
  <si>
    <t>Number of Tables fused</t>
  </si>
  <si>
    <t>Number of Instances</t>
  </si>
  <si>
    <t>Number of Columns</t>
  </si>
  <si>
    <t>Results 2</t>
  </si>
  <si>
    <t>0.984375</t>
  </si>
  <si>
    <t>0.5478260869565217</t>
  </si>
  <si>
    <t>0.8540609137055838</t>
  </si>
  <si>
    <t>0.810843373493976</t>
  </si>
  <si>
    <t>0.9644444444444444</t>
  </si>
  <si>
    <t>0.8886198547215496</t>
  </si>
  <si>
    <t>0.7645833333333333</t>
  </si>
  <si>
    <t>0.7177914110429447</t>
  </si>
  <si>
    <t>0.582089552238806</t>
  </si>
  <si>
    <t>0.7472527472527473</t>
  </si>
  <si>
    <t>0.9444444444444444</t>
  </si>
  <si>
    <t>0.9712230215827338</t>
  </si>
  <si>
    <t>0.5601659751037344</t>
  </si>
  <si>
    <t>0.53125</t>
  </si>
  <si>
    <t>f1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</si>
</sst>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Arial Unicode MS"/>
      <family val="2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rgb="FFFAD7B0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7" fillId="0" borderId="0" applyNumberFormat="0" applyFill="0" applyBorder="0" applyAlignment="0" applyProtection="0"/>
  </cellStyleXfs>
  <cellXfs count="51">
    <xf numFmtId="0" fontId="0" fillId="0" borderId="0" xfId="0"/>
    <xf numFmtId="9" fontId="0" fillId="0" borderId="0" xfId="1" applyFont="1"/>
    <xf numFmtId="0" fontId="0" fillId="0" borderId="1" xfId="0" applyBorder="1" applyAlignment="1">
      <alignment vertical="center" wrapText="1"/>
    </xf>
    <xf numFmtId="0" fontId="4" fillId="0" borderId="0" xfId="0" applyFont="1" applyAlignment="1"/>
    <xf numFmtId="0" fontId="3" fillId="2" borderId="0" xfId="2"/>
    <xf numFmtId="16" fontId="0" fillId="0" borderId="0" xfId="0" applyNumberFormat="1"/>
    <xf numFmtId="9" fontId="3" fillId="2" borderId="0" xfId="2" applyNumberFormat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7" fillId="0" borderId="0" xfId="3" applyAlignment="1">
      <alignment vertical="center" wrapText="1"/>
    </xf>
    <xf numFmtId="0" fontId="0" fillId="0" borderId="0" xfId="0" applyAlignment="1">
      <alignment horizontal="right" vertical="center" wrapText="1"/>
    </xf>
    <xf numFmtId="17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 wrapText="1"/>
    </xf>
    <xf numFmtId="0" fontId="2" fillId="0" borderId="0" xfId="0" applyFont="1" applyAlignment="1">
      <alignment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/>
    <xf numFmtId="0" fontId="0" fillId="0" borderId="1" xfId="0" applyBorder="1" applyAlignment="1">
      <alignment horizontal="center" vertical="center" wrapText="1"/>
    </xf>
    <xf numFmtId="49" fontId="2" fillId="0" borderId="0" xfId="0" applyNumberFormat="1" applyFont="1" applyAlignment="1">
      <alignment vertical="center" wrapText="1"/>
    </xf>
    <xf numFmtId="49" fontId="0" fillId="0" borderId="0" xfId="0" applyNumberFormat="1" applyAlignment="1">
      <alignment horizontal="right" vertical="center" wrapText="1"/>
    </xf>
    <xf numFmtId="49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9" fontId="3" fillId="2" borderId="0" xfId="1" applyFont="1" applyFill="1"/>
    <xf numFmtId="17" fontId="0" fillId="0" borderId="0" xfId="0" applyNumberFormat="1"/>
    <xf numFmtId="0" fontId="0" fillId="0" borderId="3" xfId="0" applyFont="1" applyBorder="1"/>
    <xf numFmtId="9" fontId="0" fillId="0" borderId="2" xfId="1" applyFont="1" applyBorder="1"/>
    <xf numFmtId="9" fontId="0" fillId="0" borderId="4" xfId="1" applyFont="1" applyBorder="1"/>
    <xf numFmtId="9" fontId="0" fillId="0" borderId="3" xfId="1" applyFont="1" applyBorder="1"/>
    <xf numFmtId="0" fontId="0" fillId="0" borderId="0" xfId="0"/>
    <xf numFmtId="0" fontId="10" fillId="3" borderId="1" xfId="0" applyFont="1" applyFill="1" applyBorder="1" applyAlignment="1">
      <alignment horizontal="center" wrapText="1"/>
    </xf>
    <xf numFmtId="164" fontId="0" fillId="0" borderId="3" xfId="1" applyNumberFormat="1" applyFont="1" applyBorder="1"/>
    <xf numFmtId="0" fontId="0" fillId="0" borderId="0" xfId="0"/>
    <xf numFmtId="0" fontId="0" fillId="4" borderId="0" xfId="0" applyFill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2" fillId="0" borderId="0" xfId="0" applyFont="1"/>
    <xf numFmtId="1" fontId="0" fillId="0" borderId="3" xfId="1" applyNumberFormat="1" applyFont="1" applyBorder="1"/>
    <xf numFmtId="164" fontId="0" fillId="0" borderId="4" xfId="1" applyNumberFormat="1" applyFont="1" applyBorder="1"/>
    <xf numFmtId="1" fontId="0" fillId="0" borderId="4" xfId="1" applyNumberFormat="1" applyFont="1" applyBorder="1"/>
    <xf numFmtId="0" fontId="10" fillId="3" borderId="1" xfId="0" applyFont="1" applyFill="1" applyBorder="1" applyAlignment="1">
      <alignment horizontal="center" vertical="top" wrapText="1"/>
    </xf>
    <xf numFmtId="0" fontId="13" fillId="0" borderId="0" xfId="0" applyFont="1" applyAlignment="1">
      <alignment vertical="center"/>
    </xf>
    <xf numFmtId="0" fontId="4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17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49" fontId="0" fillId="0" borderId="0" xfId="0" applyNumberForma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/>
  </cellXfs>
  <cellStyles count="4">
    <cellStyle name="Link" xfId="3" builtinId="8"/>
    <cellStyle name="Neutral" xfId="2" builtinId="28"/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500062</xdr:colOff>
      <xdr:row>2</xdr:row>
      <xdr:rowOff>0</xdr:rowOff>
    </xdr:from>
    <xdr:to>
      <xdr:col>10</xdr:col>
      <xdr:colOff>470633</xdr:colOff>
      <xdr:row>31</xdr:row>
      <xdr:rowOff>46929</xdr:rowOff>
    </xdr:to>
    <xdr:pic>
      <xdr:nvPicPr>
        <xdr:cNvPr id="47" name="Grafik 4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2062" y="523875"/>
          <a:ext cx="6828571" cy="5571429"/>
        </a:xfrm>
        <a:prstGeom prst="rect">
          <a:avLst/>
        </a:prstGeom>
      </xdr:spPr>
    </xdr:pic>
    <xdr:clientData/>
  </xdr:twoCellAnchor>
  <xdr:twoCellAnchor editAs="oneCell">
    <xdr:from>
      <xdr:col>23</xdr:col>
      <xdr:colOff>71437</xdr:colOff>
      <xdr:row>1</xdr:row>
      <xdr:rowOff>285750</xdr:rowOff>
    </xdr:from>
    <xdr:to>
      <xdr:col>33</xdr:col>
      <xdr:colOff>108580</xdr:colOff>
      <xdr:row>34</xdr:row>
      <xdr:rowOff>123042</xdr:rowOff>
    </xdr:to>
    <xdr:pic>
      <xdr:nvPicPr>
        <xdr:cNvPr id="48" name="Grafik 4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597437" y="476250"/>
          <a:ext cx="7657143" cy="6266667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476250</xdr:colOff>
      <xdr:row>35</xdr:row>
      <xdr:rowOff>261937</xdr:rowOff>
    </xdr:from>
    <xdr:to>
      <xdr:col>10</xdr:col>
      <xdr:colOff>589678</xdr:colOff>
      <xdr:row>65</xdr:row>
      <xdr:rowOff>99300</xdr:rowOff>
    </xdr:to>
    <xdr:pic>
      <xdr:nvPicPr>
        <xdr:cNvPr id="49" name="Grafik 4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0" y="7072312"/>
          <a:ext cx="6971428" cy="5695238"/>
        </a:xfrm>
        <a:prstGeom prst="rect">
          <a:avLst/>
        </a:prstGeom>
      </xdr:spPr>
    </xdr:pic>
    <xdr:clientData/>
  </xdr:twoCellAnchor>
  <xdr:twoCellAnchor editAs="oneCell">
    <xdr:from>
      <xdr:col>12</xdr:col>
      <xdr:colOff>71437</xdr:colOff>
      <xdr:row>36</xdr:row>
      <xdr:rowOff>0</xdr:rowOff>
    </xdr:from>
    <xdr:to>
      <xdr:col>21</xdr:col>
      <xdr:colOff>127723</xdr:colOff>
      <xdr:row>65</xdr:row>
      <xdr:rowOff>75500</xdr:rowOff>
    </xdr:to>
    <xdr:pic>
      <xdr:nvPicPr>
        <xdr:cNvPr id="50" name="Grafik 4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15437" y="7143750"/>
          <a:ext cx="6914286" cy="5600000"/>
        </a:xfrm>
        <a:prstGeom prst="rect">
          <a:avLst/>
        </a:prstGeom>
      </xdr:spPr>
    </xdr:pic>
    <xdr:clientData/>
  </xdr:twoCellAnchor>
  <xdr:twoCellAnchor editAs="oneCell">
    <xdr:from>
      <xdr:col>34</xdr:col>
      <xdr:colOff>333375</xdr:colOff>
      <xdr:row>36</xdr:row>
      <xdr:rowOff>0</xdr:rowOff>
    </xdr:from>
    <xdr:to>
      <xdr:col>43</xdr:col>
      <xdr:colOff>637280</xdr:colOff>
      <xdr:row>65</xdr:row>
      <xdr:rowOff>180262</xdr:rowOff>
    </xdr:to>
    <xdr:pic>
      <xdr:nvPicPr>
        <xdr:cNvPr id="51" name="Grafik 50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6241375" y="7143750"/>
          <a:ext cx="7161905" cy="570476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476250</xdr:colOff>
      <xdr:row>71</xdr:row>
      <xdr:rowOff>309563</xdr:rowOff>
    </xdr:from>
    <xdr:to>
      <xdr:col>10</xdr:col>
      <xdr:colOff>418155</xdr:colOff>
      <xdr:row>104</xdr:row>
      <xdr:rowOff>3997</xdr:rowOff>
    </xdr:to>
    <xdr:pic>
      <xdr:nvPicPr>
        <xdr:cNvPr id="53" name="Grafik 52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6250" y="14120813"/>
          <a:ext cx="7561905" cy="6123809"/>
        </a:xfrm>
        <a:prstGeom prst="rect">
          <a:avLst/>
        </a:prstGeom>
      </xdr:spPr>
    </xdr:pic>
    <xdr:clientData/>
  </xdr:twoCellAnchor>
  <xdr:twoCellAnchor editAs="oneCell">
    <xdr:from>
      <xdr:col>12</xdr:col>
      <xdr:colOff>261938</xdr:colOff>
      <xdr:row>72</xdr:row>
      <xdr:rowOff>23813</xdr:rowOff>
    </xdr:from>
    <xdr:to>
      <xdr:col>21</xdr:col>
      <xdr:colOff>146795</xdr:colOff>
      <xdr:row>101</xdr:row>
      <xdr:rowOff>70742</xdr:rowOff>
    </xdr:to>
    <xdr:pic>
      <xdr:nvPicPr>
        <xdr:cNvPr id="54" name="Grafik 5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405938" y="14168438"/>
          <a:ext cx="6742857" cy="5571429"/>
        </a:xfrm>
        <a:prstGeom prst="rect">
          <a:avLst/>
        </a:prstGeom>
      </xdr:spPr>
    </xdr:pic>
    <xdr:clientData/>
  </xdr:twoCellAnchor>
  <xdr:twoCellAnchor editAs="oneCell">
    <xdr:from>
      <xdr:col>34</xdr:col>
      <xdr:colOff>666750</xdr:colOff>
      <xdr:row>72</xdr:row>
      <xdr:rowOff>0</xdr:rowOff>
    </xdr:from>
    <xdr:to>
      <xdr:col>43</xdr:col>
      <xdr:colOff>551607</xdr:colOff>
      <xdr:row>101</xdr:row>
      <xdr:rowOff>8833</xdr:rowOff>
    </xdr:to>
    <xdr:pic>
      <xdr:nvPicPr>
        <xdr:cNvPr id="55" name="Grafik 54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6574750" y="14144625"/>
          <a:ext cx="6742857" cy="5533333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476250</xdr:colOff>
      <xdr:row>105</xdr:row>
      <xdr:rowOff>0</xdr:rowOff>
    </xdr:from>
    <xdr:to>
      <xdr:col>10</xdr:col>
      <xdr:colOff>503869</xdr:colOff>
      <xdr:row>138</xdr:row>
      <xdr:rowOff>27786</xdr:rowOff>
    </xdr:to>
    <xdr:pic>
      <xdr:nvPicPr>
        <xdr:cNvPr id="56" name="Grafik 55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76250" y="20574000"/>
          <a:ext cx="7647619" cy="6314286"/>
        </a:xfrm>
        <a:prstGeom prst="rect">
          <a:avLst/>
        </a:prstGeom>
      </xdr:spPr>
    </xdr:pic>
    <xdr:clientData/>
  </xdr:twoCellAnchor>
  <xdr:twoCellAnchor>
    <xdr:from>
      <xdr:col>12</xdr:col>
      <xdr:colOff>686081</xdr:colOff>
      <xdr:row>11</xdr:row>
      <xdr:rowOff>32766</xdr:rowOff>
    </xdr:from>
    <xdr:to>
      <xdr:col>20</xdr:col>
      <xdr:colOff>104838</xdr:colOff>
      <xdr:row>15</xdr:row>
      <xdr:rowOff>70792</xdr:rowOff>
    </xdr:to>
    <xdr:sp macro="" textlink="">
      <xdr:nvSpPr>
        <xdr:cNvPr id="57" name="Textfeld 56"/>
        <xdr:cNvSpPr txBox="1"/>
      </xdr:nvSpPr>
      <xdr:spPr>
        <a:xfrm>
          <a:off x="9830081" y="2271141"/>
          <a:ext cx="5514757" cy="8000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3600"/>
            <a:t>Keine Numerische Variablen</a:t>
          </a:r>
        </a:p>
      </xdr:txBody>
    </xdr:sp>
    <xdr:clientData/>
  </xdr:twoCellAnchor>
  <xdr:twoCellAnchor>
    <xdr:from>
      <xdr:col>35</xdr:col>
      <xdr:colOff>386044</xdr:colOff>
      <xdr:row>11</xdr:row>
      <xdr:rowOff>185166</xdr:rowOff>
    </xdr:from>
    <xdr:to>
      <xdr:col>42</xdr:col>
      <xdr:colOff>566801</xdr:colOff>
      <xdr:row>16</xdr:row>
      <xdr:rowOff>32692</xdr:rowOff>
    </xdr:to>
    <xdr:sp macro="" textlink="">
      <xdr:nvSpPr>
        <xdr:cNvPr id="58" name="Textfeld 57"/>
        <xdr:cNvSpPr txBox="1"/>
      </xdr:nvSpPr>
      <xdr:spPr>
        <a:xfrm>
          <a:off x="27056044" y="2423541"/>
          <a:ext cx="5514757" cy="8000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3600"/>
            <a:t>Keine Numerische Variablen</a:t>
          </a:r>
        </a:p>
      </xdr:txBody>
    </xdr:sp>
    <xdr:clientData/>
  </xdr:twoCellAnchor>
  <xdr:twoCellAnchor>
    <xdr:from>
      <xdr:col>24</xdr:col>
      <xdr:colOff>490819</xdr:colOff>
      <xdr:row>45</xdr:row>
      <xdr:rowOff>170878</xdr:rowOff>
    </xdr:from>
    <xdr:to>
      <xdr:col>31</xdr:col>
      <xdr:colOff>671576</xdr:colOff>
      <xdr:row>50</xdr:row>
      <xdr:rowOff>18404</xdr:rowOff>
    </xdr:to>
    <xdr:sp macro="" textlink="">
      <xdr:nvSpPr>
        <xdr:cNvPr id="59" name="Textfeld 58"/>
        <xdr:cNvSpPr txBox="1"/>
      </xdr:nvSpPr>
      <xdr:spPr>
        <a:xfrm>
          <a:off x="18778819" y="9029128"/>
          <a:ext cx="5514757" cy="8000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3600"/>
            <a:t>Keine Numerische Variablen</a:t>
          </a:r>
        </a:p>
      </xdr:txBody>
    </xdr:sp>
    <xdr:clientData/>
  </xdr:twoCellAnchor>
  <xdr:twoCellAnchor>
    <xdr:from>
      <xdr:col>24</xdr:col>
      <xdr:colOff>571781</xdr:colOff>
      <xdr:row>82</xdr:row>
      <xdr:rowOff>108966</xdr:rowOff>
    </xdr:from>
    <xdr:to>
      <xdr:col>31</xdr:col>
      <xdr:colOff>752538</xdr:colOff>
      <xdr:row>86</xdr:row>
      <xdr:rowOff>146992</xdr:rowOff>
    </xdr:to>
    <xdr:sp macro="" textlink="">
      <xdr:nvSpPr>
        <xdr:cNvPr id="60" name="Textfeld 59"/>
        <xdr:cNvSpPr txBox="1"/>
      </xdr:nvSpPr>
      <xdr:spPr>
        <a:xfrm>
          <a:off x="18859781" y="16158591"/>
          <a:ext cx="5514757" cy="8000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3600"/>
            <a:t>Keine Numerische Variablen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3" name="Tabelle3" displayName="Tabelle3" ref="AA9:AM34" totalsRowShown="0">
  <autoFilter ref="AA9:AM34"/>
  <tableColumns count="13">
    <tableColumn id="1" name="Table"/>
    <tableColumn id="2" name="Correlation Column"/>
    <tableColumn id="3" name="#(Correlating Columns)"/>
    <tableColumn id="4" name="Correlating Column Density" dataCellStyle="Prozent"/>
    <tableColumn id="5" name="Correlating Column1"/>
    <tableColumn id="6" name="Correlating Column2"/>
    <tableColumn id="7" name="Correlating Column3"/>
    <tableColumn id="8" name="Correlating Column4"/>
    <tableColumn id="9" name="Correlating Column5"/>
    <tableColumn id="10" name="Correlating Column6"/>
    <tableColumn id="11" name="Correlating Column7"/>
    <tableColumn id="12" name="Correlating Column8"/>
    <tableColumn id="13" name="Correlating Column9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7" name="Tabelle7" displayName="Tabelle7" ref="G9:S42" totalsRowShown="0">
  <autoFilter ref="G9:S42"/>
  <tableColumns count="13">
    <tableColumn id="1" name="Table"/>
    <tableColumn id="2" name="Correlation Column"/>
    <tableColumn id="3" name="#(Correlating Columns)"/>
    <tableColumn id="4" name="Correlating Column Density" dataCellStyle="Prozent"/>
    <tableColumn id="5" name="Correlating Column1"/>
    <tableColumn id="6" name="Correlating Column2"/>
    <tableColumn id="7" name="Correlating Column3"/>
    <tableColumn id="8" name="Correlating Column4"/>
    <tableColumn id="9" name="Correlating Column5"/>
    <tableColumn id="10" name="Correlating Column6"/>
    <tableColumn id="11" name="Correlating Column7"/>
    <tableColumn id="12" name="Correlating Column8"/>
    <tableColumn id="13" name="Correlating Column9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Q40"/>
  <sheetViews>
    <sheetView zoomScale="130" zoomScaleNormal="130" workbookViewId="0">
      <selection activeCell="L10" sqref="L10"/>
    </sheetView>
  </sheetViews>
  <sheetFormatPr baseColWidth="10" defaultRowHeight="15" x14ac:dyDescent="0.25"/>
  <cols>
    <col min="2" max="2" width="19" customWidth="1"/>
    <col min="3" max="3" width="16.85546875" style="21" hidden="1" customWidth="1"/>
    <col min="4" max="4" width="15.140625" style="32" hidden="1" customWidth="1"/>
    <col min="5" max="5" width="15.140625" style="21" hidden="1" customWidth="1"/>
    <col min="6" max="6" width="17.7109375" style="21" hidden="1" customWidth="1"/>
  </cols>
  <sheetData>
    <row r="2" spans="2:17" ht="14.25" customHeight="1" x14ac:dyDescent="0.25">
      <c r="M2" t="s">
        <v>2241</v>
      </c>
      <c r="O2" s="40" t="s">
        <v>2237</v>
      </c>
      <c r="P2" s="30" t="s">
        <v>2194</v>
      </c>
      <c r="Q2" s="30" t="s">
        <v>2195</v>
      </c>
    </row>
    <row r="3" spans="2:17" ht="15" customHeight="1" x14ac:dyDescent="0.25">
      <c r="B3" s="40" t="s">
        <v>2237</v>
      </c>
      <c r="C3" s="40" t="s">
        <v>2238</v>
      </c>
      <c r="D3" s="30" t="s">
        <v>2239</v>
      </c>
      <c r="E3" s="30" t="s">
        <v>2240</v>
      </c>
      <c r="F3" s="30" t="s">
        <v>2193</v>
      </c>
      <c r="G3" s="30" t="s">
        <v>2194</v>
      </c>
      <c r="H3" s="30" t="s">
        <v>2195</v>
      </c>
      <c r="I3" s="30" t="s">
        <v>2196</v>
      </c>
      <c r="J3" s="32"/>
      <c r="N3">
        <v>10</v>
      </c>
      <c r="O3" s="31" t="s">
        <v>1</v>
      </c>
    </row>
    <row r="4" spans="2:17" x14ac:dyDescent="0.25">
      <c r="B4" s="31" t="s">
        <v>1</v>
      </c>
      <c r="C4" s="37">
        <v>4</v>
      </c>
      <c r="D4" s="37">
        <v>137</v>
      </c>
      <c r="E4" s="37">
        <v>10</v>
      </c>
      <c r="F4" s="28">
        <v>0.48102200000000001</v>
      </c>
      <c r="G4" s="26">
        <v>1</v>
      </c>
      <c r="H4" s="26">
        <v>1</v>
      </c>
      <c r="I4" s="26">
        <v>1</v>
      </c>
      <c r="N4">
        <v>11</v>
      </c>
      <c r="O4" s="31" t="s">
        <v>2</v>
      </c>
      <c r="P4" s="41" t="s">
        <v>2244</v>
      </c>
      <c r="Q4" s="41" t="s">
        <v>2245</v>
      </c>
    </row>
    <row r="5" spans="2:17" x14ac:dyDescent="0.25">
      <c r="B5" s="31" t="s">
        <v>2</v>
      </c>
      <c r="C5" s="37">
        <v>5</v>
      </c>
      <c r="D5" s="37">
        <v>135</v>
      </c>
      <c r="E5" s="37">
        <v>6</v>
      </c>
      <c r="F5" s="28">
        <v>0.59506199999999998</v>
      </c>
      <c r="G5" s="26">
        <v>0.76428571428600001</v>
      </c>
      <c r="H5" s="26">
        <v>1</v>
      </c>
      <c r="I5" s="26">
        <v>0.86639676113399999</v>
      </c>
      <c r="N5">
        <v>16</v>
      </c>
      <c r="O5" s="31" t="s">
        <v>3</v>
      </c>
      <c r="P5" s="41" t="s">
        <v>2242</v>
      </c>
      <c r="Q5" s="41" t="s">
        <v>2243</v>
      </c>
    </row>
    <row r="6" spans="2:17" x14ac:dyDescent="0.25">
      <c r="B6" s="31" t="s">
        <v>3</v>
      </c>
      <c r="C6" s="37">
        <v>7</v>
      </c>
      <c r="D6" s="37">
        <v>29</v>
      </c>
      <c r="E6" s="37">
        <v>11</v>
      </c>
      <c r="F6" s="28">
        <v>0.49529800000000002</v>
      </c>
      <c r="G6" s="26">
        <v>0.53846153846199996</v>
      </c>
      <c r="H6" s="26">
        <v>1</v>
      </c>
      <c r="I6" s="26">
        <v>0.7</v>
      </c>
      <c r="N6">
        <v>19</v>
      </c>
      <c r="O6" s="31" t="s">
        <v>4</v>
      </c>
      <c r="P6" s="41" t="s">
        <v>14</v>
      </c>
      <c r="Q6" s="41" t="s">
        <v>2246</v>
      </c>
    </row>
    <row r="7" spans="2:17" x14ac:dyDescent="0.25">
      <c r="B7" s="31" t="s">
        <v>4</v>
      </c>
      <c r="C7" s="37">
        <v>9</v>
      </c>
      <c r="D7" s="37">
        <v>153</v>
      </c>
      <c r="E7" s="37">
        <v>9</v>
      </c>
      <c r="F7" s="28">
        <v>0.81408899999999995</v>
      </c>
      <c r="G7" s="26">
        <v>1</v>
      </c>
      <c r="H7" s="26">
        <v>1</v>
      </c>
      <c r="I7" s="26">
        <v>1</v>
      </c>
      <c r="N7">
        <v>24</v>
      </c>
      <c r="O7" s="31" t="s">
        <v>5</v>
      </c>
    </row>
    <row r="8" spans="2:17" x14ac:dyDescent="0.25">
      <c r="B8" s="31" t="s">
        <v>5</v>
      </c>
      <c r="C8" s="37">
        <v>3</v>
      </c>
      <c r="D8" s="37">
        <v>46</v>
      </c>
      <c r="E8" s="37">
        <v>9</v>
      </c>
      <c r="F8" s="28">
        <v>0.85748800000000003</v>
      </c>
      <c r="G8" s="26">
        <v>0.57723577235800005</v>
      </c>
      <c r="H8" s="26">
        <v>0.89873417721500004</v>
      </c>
      <c r="I8" s="26">
        <v>0.70297029703000002</v>
      </c>
      <c r="N8">
        <v>32</v>
      </c>
      <c r="O8" s="31" t="s">
        <v>6</v>
      </c>
      <c r="P8" s="41" t="s">
        <v>2247</v>
      </c>
      <c r="Q8" s="41" t="s">
        <v>2248</v>
      </c>
    </row>
    <row r="9" spans="2:17" x14ac:dyDescent="0.25">
      <c r="B9" s="31" t="s">
        <v>6</v>
      </c>
      <c r="C9" s="37">
        <v>5</v>
      </c>
      <c r="D9" s="37">
        <v>81</v>
      </c>
      <c r="E9" s="37">
        <v>11</v>
      </c>
      <c r="F9" s="28">
        <v>0.535354</v>
      </c>
      <c r="G9" s="26">
        <v>0.68471953578300004</v>
      </c>
      <c r="H9" s="26">
        <v>1</v>
      </c>
      <c r="I9" s="26">
        <v>0.81285878300799996</v>
      </c>
      <c r="N9">
        <v>38</v>
      </c>
      <c r="O9" s="31" t="s">
        <v>7</v>
      </c>
    </row>
    <row r="10" spans="2:17" x14ac:dyDescent="0.25">
      <c r="B10" s="31" t="s">
        <v>7</v>
      </c>
      <c r="C10" s="37">
        <v>4</v>
      </c>
      <c r="D10" s="37">
        <v>23</v>
      </c>
      <c r="E10" s="37">
        <v>8</v>
      </c>
      <c r="F10" s="28">
        <v>0.51087000000000005</v>
      </c>
      <c r="G10" s="26">
        <v>0.76829268292700004</v>
      </c>
      <c r="H10" s="26">
        <v>1</v>
      </c>
      <c r="I10" s="26">
        <v>0.86896551724100002</v>
      </c>
      <c r="N10">
        <v>43</v>
      </c>
      <c r="O10" s="31" t="s">
        <v>8</v>
      </c>
      <c r="P10" s="41" t="s">
        <v>2249</v>
      </c>
      <c r="Q10" s="41" t="s">
        <v>2250</v>
      </c>
    </row>
    <row r="11" spans="2:17" x14ac:dyDescent="0.25">
      <c r="B11" s="31" t="s">
        <v>8</v>
      </c>
      <c r="C11" s="37">
        <v>6</v>
      </c>
      <c r="D11" s="37">
        <v>35</v>
      </c>
      <c r="E11" s="37">
        <v>10</v>
      </c>
      <c r="F11" s="28">
        <v>0.53428600000000004</v>
      </c>
      <c r="G11" s="26">
        <v>0.51428571428600001</v>
      </c>
      <c r="H11" s="26">
        <v>1</v>
      </c>
      <c r="I11" s="26">
        <v>0.679245283019</v>
      </c>
      <c r="N11">
        <v>58</v>
      </c>
      <c r="O11" s="31" t="s">
        <v>9</v>
      </c>
      <c r="P11" s="41" t="s">
        <v>2251</v>
      </c>
      <c r="Q11" s="41" t="s">
        <v>2252</v>
      </c>
    </row>
    <row r="12" spans="2:17" x14ac:dyDescent="0.25">
      <c r="B12" s="31" t="s">
        <v>9</v>
      </c>
      <c r="C12" s="37">
        <v>7</v>
      </c>
      <c r="D12" s="37">
        <v>20</v>
      </c>
      <c r="E12" s="37">
        <v>12</v>
      </c>
      <c r="F12" s="28">
        <v>0.55833299999999997</v>
      </c>
      <c r="G12" s="26">
        <v>0.92771084337300003</v>
      </c>
      <c r="H12" s="26">
        <v>0.98717948717899995</v>
      </c>
      <c r="I12" s="26">
        <v>0.95652173913000005</v>
      </c>
      <c r="N12">
        <v>69</v>
      </c>
      <c r="O12" s="31" t="s">
        <v>10</v>
      </c>
      <c r="P12" s="41" t="s">
        <v>2253</v>
      </c>
      <c r="Q12" s="41" t="s">
        <v>2254</v>
      </c>
    </row>
    <row r="13" spans="2:17" x14ac:dyDescent="0.25">
      <c r="B13" s="31" t="s">
        <v>10</v>
      </c>
      <c r="C13" s="37">
        <v>4</v>
      </c>
      <c r="D13" s="37">
        <v>41</v>
      </c>
      <c r="E13" s="37">
        <v>10</v>
      </c>
      <c r="F13" s="28">
        <v>0.66585399999999995</v>
      </c>
      <c r="G13" s="26">
        <v>0.73717948717899995</v>
      </c>
      <c r="H13" s="26">
        <v>1</v>
      </c>
      <c r="I13" s="26">
        <v>0.84870848708500002</v>
      </c>
      <c r="N13">
        <v>72</v>
      </c>
      <c r="O13" s="31" t="s">
        <v>11</v>
      </c>
    </row>
    <row r="14" spans="2:17" x14ac:dyDescent="0.25">
      <c r="B14" s="31" t="s">
        <v>11</v>
      </c>
      <c r="C14" s="37">
        <v>2</v>
      </c>
      <c r="D14" s="37">
        <v>243</v>
      </c>
      <c r="E14" s="37">
        <v>4</v>
      </c>
      <c r="F14" s="28">
        <v>1</v>
      </c>
      <c r="G14" s="26">
        <v>1</v>
      </c>
      <c r="H14" s="26">
        <v>1</v>
      </c>
      <c r="I14" s="26">
        <v>1</v>
      </c>
      <c r="N14">
        <v>85</v>
      </c>
      <c r="O14" s="31" t="s">
        <v>10</v>
      </c>
    </row>
    <row r="15" spans="2:17" ht="15.75" thickBot="1" x14ac:dyDescent="0.3">
      <c r="B15" s="31" t="s">
        <v>10</v>
      </c>
      <c r="C15" s="37">
        <v>4</v>
      </c>
      <c r="D15" s="37">
        <v>214</v>
      </c>
      <c r="E15" s="37">
        <v>8</v>
      </c>
      <c r="F15" s="28">
        <v>0.99707900000000005</v>
      </c>
      <c r="G15" s="26">
        <v>0.92307692307699996</v>
      </c>
      <c r="H15" s="26">
        <v>1</v>
      </c>
      <c r="I15" s="26">
        <v>0.96</v>
      </c>
      <c r="N15">
        <v>87</v>
      </c>
      <c r="O15" s="38" t="s">
        <v>13</v>
      </c>
      <c r="P15" s="41" t="s">
        <v>2255</v>
      </c>
      <c r="Q15" s="41" t="s">
        <v>14</v>
      </c>
    </row>
    <row r="16" spans="2:17" ht="15.75" thickBot="1" x14ac:dyDescent="0.3">
      <c r="B16" s="38" t="s">
        <v>13</v>
      </c>
      <c r="C16" s="39">
        <v>5</v>
      </c>
      <c r="D16" s="39">
        <v>7</v>
      </c>
      <c r="E16" s="39">
        <v>16</v>
      </c>
      <c r="F16" s="27">
        <v>0.88392899999999996</v>
      </c>
      <c r="G16" s="27">
        <v>0.92045454545500005</v>
      </c>
      <c r="H16" s="27">
        <v>0.89010989010999997</v>
      </c>
      <c r="I16" s="27">
        <v>0.90502793296100004</v>
      </c>
    </row>
    <row r="17" spans="2:9" x14ac:dyDescent="0.25">
      <c r="B17" s="25" t="s">
        <v>0</v>
      </c>
      <c r="C17" s="31">
        <f t="shared" ref="C17:F17" si="0" xml:space="preserve"> AVERAGE(C4:C16)</f>
        <v>5</v>
      </c>
      <c r="D17" s="31">
        <f t="shared" si="0"/>
        <v>89.538461538461533</v>
      </c>
      <c r="E17" s="31">
        <f t="shared" si="0"/>
        <v>9.5384615384615383</v>
      </c>
      <c r="F17" s="28">
        <f t="shared" si="0"/>
        <v>0.68682030769230762</v>
      </c>
      <c r="G17" s="28">
        <f xml:space="preserve"> AVERAGE(G4:G16)</f>
        <v>0.79659251978353829</v>
      </c>
      <c r="H17" s="28">
        <f t="shared" ref="H17:I17" si="1" xml:space="preserve"> AVERAGE(H4:H16)</f>
        <v>0.98277104265415383</v>
      </c>
      <c r="I17" s="28">
        <f t="shared" si="1"/>
        <v>0.86928421543138468</v>
      </c>
    </row>
    <row r="23" spans="2:9" x14ac:dyDescent="0.25">
      <c r="C23" s="32"/>
      <c r="E23" s="32"/>
      <c r="F23" s="32"/>
      <c r="G23" s="32"/>
    </row>
    <row r="24" spans="2:9" x14ac:dyDescent="0.25">
      <c r="C24" s="32"/>
      <c r="E24" s="32"/>
      <c r="F24" s="32"/>
      <c r="G24" s="32"/>
    </row>
    <row r="25" spans="2:9" x14ac:dyDescent="0.25">
      <c r="C25" s="32"/>
      <c r="E25" s="32"/>
      <c r="F25" s="32"/>
      <c r="G25" s="32"/>
    </row>
    <row r="26" spans="2:9" x14ac:dyDescent="0.25">
      <c r="C26" s="32"/>
      <c r="E26" s="32"/>
      <c r="F26" s="32"/>
      <c r="G26" s="32"/>
    </row>
    <row r="27" spans="2:9" x14ac:dyDescent="0.25">
      <c r="C27" s="32"/>
      <c r="E27" s="32"/>
      <c r="F27" s="32"/>
      <c r="G27" s="32"/>
    </row>
    <row r="28" spans="2:9" x14ac:dyDescent="0.25">
      <c r="C28" s="32"/>
      <c r="E28" s="32"/>
      <c r="F28" s="32"/>
      <c r="G28" s="32"/>
    </row>
    <row r="29" spans="2:9" x14ac:dyDescent="0.25">
      <c r="C29" s="32"/>
      <c r="E29" s="32"/>
      <c r="F29" s="32"/>
      <c r="G29" s="32"/>
    </row>
    <row r="30" spans="2:9" x14ac:dyDescent="0.25">
      <c r="C30" s="32"/>
      <c r="E30" s="32"/>
      <c r="F30" s="32"/>
      <c r="G30" s="32"/>
    </row>
    <row r="31" spans="2:9" x14ac:dyDescent="0.25">
      <c r="C31" s="32"/>
      <c r="E31" s="32"/>
      <c r="F31" s="32"/>
      <c r="G31" s="32"/>
    </row>
    <row r="32" spans="2:9" x14ac:dyDescent="0.25">
      <c r="C32" s="32"/>
      <c r="E32" s="32"/>
      <c r="F32" s="32"/>
      <c r="G32" s="32"/>
    </row>
    <row r="33" spans="3:7" x14ac:dyDescent="0.25">
      <c r="C33" s="32"/>
      <c r="E33" s="32"/>
      <c r="F33" s="32"/>
      <c r="G33" s="32"/>
    </row>
    <row r="34" spans="3:7" x14ac:dyDescent="0.25">
      <c r="C34" s="32"/>
      <c r="E34" s="32"/>
      <c r="F34" s="32"/>
      <c r="G34" s="32"/>
    </row>
    <row r="35" spans="3:7" x14ac:dyDescent="0.25">
      <c r="C35" s="32"/>
      <c r="E35" s="32"/>
      <c r="F35" s="32"/>
      <c r="G35" s="32"/>
    </row>
    <row r="36" spans="3:7" x14ac:dyDescent="0.25">
      <c r="C36" s="32"/>
      <c r="E36" s="32"/>
      <c r="F36" s="32"/>
      <c r="G36" s="32"/>
    </row>
    <row r="37" spans="3:7" x14ac:dyDescent="0.25">
      <c r="C37" s="32"/>
      <c r="E37" s="32"/>
      <c r="F37" s="32"/>
      <c r="G37" s="32"/>
    </row>
    <row r="38" spans="3:7" x14ac:dyDescent="0.25">
      <c r="C38" s="32"/>
      <c r="E38" s="32"/>
      <c r="F38" s="32"/>
      <c r="G38" s="32"/>
    </row>
    <row r="39" spans="3:7" x14ac:dyDescent="0.25">
      <c r="C39" s="32"/>
      <c r="E39" s="32"/>
      <c r="F39" s="32"/>
      <c r="G39" s="32"/>
    </row>
    <row r="40" spans="3:7" x14ac:dyDescent="0.25">
      <c r="C40" s="32"/>
      <c r="E40" s="32"/>
      <c r="F40" s="32"/>
      <c r="G40" s="32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E2:AO105"/>
  <sheetViews>
    <sheetView topLeftCell="A55" zoomScale="70" zoomScaleNormal="70" zoomScaleSheetLayoutView="55" zoomScalePageLayoutView="40" workbookViewId="0">
      <selection activeCell="AS57" sqref="AS57"/>
    </sheetView>
  </sheetViews>
  <sheetFormatPr baseColWidth="10" defaultRowHeight="15" x14ac:dyDescent="0.25"/>
  <cols>
    <col min="1" max="16384" width="11.42578125" style="16"/>
  </cols>
  <sheetData>
    <row r="2" spans="6:40" ht="26.25" x14ac:dyDescent="0.4">
      <c r="F2" s="42" t="s">
        <v>1</v>
      </c>
      <c r="G2" s="42"/>
      <c r="Q2" s="42" t="s">
        <v>2</v>
      </c>
      <c r="R2" s="42"/>
      <c r="AB2" s="42" t="s">
        <v>3</v>
      </c>
      <c r="AC2" s="42"/>
      <c r="AJ2" s="3"/>
      <c r="AK2" s="3"/>
      <c r="AM2" s="42" t="s">
        <v>4</v>
      </c>
      <c r="AN2" s="42"/>
    </row>
    <row r="36" spans="6:40" ht="26.25" x14ac:dyDescent="0.4">
      <c r="F36" s="42" t="s">
        <v>5</v>
      </c>
      <c r="G36" s="42"/>
      <c r="P36" s="42" t="s">
        <v>6</v>
      </c>
      <c r="Q36" s="42"/>
      <c r="R36" s="42"/>
      <c r="S36" s="42"/>
      <c r="AB36" s="42" t="s">
        <v>7</v>
      </c>
      <c r="AC36" s="42"/>
      <c r="AM36" s="42" t="s">
        <v>8</v>
      </c>
      <c r="AN36" s="42"/>
    </row>
    <row r="72" spans="6:41" ht="26.25" x14ac:dyDescent="0.4">
      <c r="F72" s="42" t="s">
        <v>9</v>
      </c>
      <c r="G72" s="42"/>
      <c r="Q72" s="42" t="s">
        <v>10</v>
      </c>
      <c r="R72" s="42"/>
      <c r="AB72" s="42" t="s">
        <v>11</v>
      </c>
      <c r="AC72" s="42"/>
      <c r="AL72" s="42" t="s">
        <v>12</v>
      </c>
      <c r="AM72" s="42"/>
      <c r="AN72" s="42"/>
      <c r="AO72" s="42"/>
    </row>
    <row r="105" spans="5:8" ht="26.25" x14ac:dyDescent="0.4">
      <c r="E105" s="42" t="s">
        <v>13</v>
      </c>
      <c r="F105" s="42"/>
      <c r="G105" s="42"/>
      <c r="H105" s="7"/>
    </row>
  </sheetData>
  <mergeCells count="13">
    <mergeCell ref="F72:G72"/>
    <mergeCell ref="Q72:R72"/>
    <mergeCell ref="AB72:AC72"/>
    <mergeCell ref="AL72:AO72"/>
    <mergeCell ref="E105:G105"/>
    <mergeCell ref="F2:G2"/>
    <mergeCell ref="Q2:R2"/>
    <mergeCell ref="AB2:AC2"/>
    <mergeCell ref="AM2:AN2"/>
    <mergeCell ref="F36:G36"/>
    <mergeCell ref="P36:S36"/>
    <mergeCell ref="AB36:AC36"/>
    <mergeCell ref="AM36:AN36"/>
  </mergeCells>
  <pageMargins left="0.23622047244094491" right="0.23622047244094491" top="0.74803149606299213" bottom="0.74803149606299213" header="0.31496062992125984" footer="0.31496062992125984"/>
  <pageSetup paperSize="9" scale="65" orientation="portrait" r:id="rId1"/>
  <rowBreaks count="1" manualBreakCount="1">
    <brk id="70" min="22" max="43" man="1"/>
  </rowBreaks>
  <colBreaks count="3" manualBreakCount="3">
    <brk id="11" max="144" man="1"/>
    <brk id="22" max="144" man="1"/>
    <brk id="33" min="70" max="14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B62"/>
  <sheetViews>
    <sheetView topLeftCell="A7" workbookViewId="0">
      <selection activeCell="N15" sqref="N15"/>
    </sheetView>
  </sheetViews>
  <sheetFormatPr baseColWidth="10" defaultRowHeight="15" x14ac:dyDescent="0.25"/>
  <cols>
    <col min="2" max="4" width="11.42578125" style="16"/>
    <col min="7" max="7" width="11.42578125" style="16"/>
    <col min="8" max="8" width="20.42578125" style="16" customWidth="1"/>
    <col min="9" max="9" width="23.5703125" style="16" customWidth="1"/>
    <col min="10" max="10" width="27.42578125" style="16" customWidth="1"/>
    <col min="11" max="19" width="21.28515625" style="16" customWidth="1"/>
    <col min="21" max="21" width="11.42578125" style="16"/>
    <col min="22" max="24" width="12.28515625" style="16" customWidth="1"/>
    <col min="25" max="25" width="12.28515625" customWidth="1"/>
    <col min="27" max="27" width="11.42578125" style="16"/>
    <col min="28" max="28" width="20.42578125" style="16" customWidth="1"/>
    <col min="29" max="29" width="23.5703125" style="16" customWidth="1"/>
    <col min="30" max="30" width="27.42578125" style="16" customWidth="1"/>
    <col min="31" max="38" width="21.28515625" style="16" customWidth="1"/>
    <col min="39" max="39" width="21.28515625" customWidth="1"/>
    <col min="40" max="40" width="11.42578125" style="16"/>
    <col min="43" max="43" width="20.42578125" customWidth="1"/>
    <col min="44" max="44" width="23.5703125" customWidth="1"/>
    <col min="45" max="45" width="27.42578125" customWidth="1"/>
    <col min="46" max="54" width="21.28515625" customWidth="1"/>
  </cols>
  <sheetData>
    <row r="1" spans="2:54" s="16" customFormat="1" x14ac:dyDescent="0.25"/>
    <row r="2" spans="2:54" s="16" customFormat="1" x14ac:dyDescent="0.25"/>
    <row r="3" spans="2:54" s="16" customFormat="1" x14ac:dyDescent="0.25"/>
    <row r="4" spans="2:54" s="16" customFormat="1" x14ac:dyDescent="0.25"/>
    <row r="5" spans="2:54" s="16" customFormat="1" x14ac:dyDescent="0.25"/>
    <row r="6" spans="2:54" s="16" customFormat="1" x14ac:dyDescent="0.25"/>
    <row r="7" spans="2:54" s="16" customFormat="1" ht="21" x14ac:dyDescent="0.35">
      <c r="B7" s="43" t="s">
        <v>2070</v>
      </c>
      <c r="C7" s="44"/>
      <c r="D7" s="44"/>
      <c r="G7" s="43" t="s">
        <v>2071</v>
      </c>
      <c r="H7" s="44"/>
      <c r="I7" s="44"/>
      <c r="J7" s="22"/>
      <c r="K7" s="22"/>
      <c r="L7" s="22"/>
      <c r="M7" s="22"/>
      <c r="N7" s="22"/>
      <c r="R7" s="22"/>
      <c r="S7" s="22"/>
      <c r="U7" s="22"/>
      <c r="V7" s="43" t="s">
        <v>2072</v>
      </c>
      <c r="W7" s="44"/>
      <c r="X7" s="44"/>
      <c r="AA7" s="43" t="s">
        <v>2073</v>
      </c>
      <c r="AB7" s="44"/>
      <c r="AC7" s="44"/>
      <c r="AG7" s="22"/>
      <c r="AH7" s="22"/>
      <c r="AI7" s="22"/>
      <c r="AJ7" s="22"/>
      <c r="AK7" s="22"/>
      <c r="AL7" s="22"/>
      <c r="AP7" s="43" t="s">
        <v>2074</v>
      </c>
      <c r="AQ7" s="44"/>
      <c r="AR7" s="44"/>
    </row>
    <row r="8" spans="2:54" s="16" customFormat="1" x14ac:dyDescent="0.25"/>
    <row r="9" spans="2:54" x14ac:dyDescent="0.25">
      <c r="B9" s="16" t="s">
        <v>15</v>
      </c>
      <c r="C9" s="16" t="s">
        <v>16</v>
      </c>
      <c r="D9" s="16" t="s">
        <v>18</v>
      </c>
      <c r="G9" s="16" t="s">
        <v>15</v>
      </c>
      <c r="H9" s="16" t="s">
        <v>16</v>
      </c>
      <c r="I9" s="16" t="s">
        <v>18</v>
      </c>
      <c r="J9" s="16" t="s">
        <v>1128</v>
      </c>
      <c r="K9" s="16" t="s">
        <v>19</v>
      </c>
      <c r="L9" s="16" t="s">
        <v>20</v>
      </c>
      <c r="M9" s="16" t="s">
        <v>21</v>
      </c>
      <c r="N9" s="16" t="s">
        <v>22</v>
      </c>
      <c r="O9" s="16" t="s">
        <v>23</v>
      </c>
      <c r="P9" s="16" t="s">
        <v>24</v>
      </c>
      <c r="Q9" s="16" t="s">
        <v>25</v>
      </c>
      <c r="R9" s="16" t="s">
        <v>26</v>
      </c>
      <c r="S9" s="16" t="s">
        <v>27</v>
      </c>
      <c r="V9" s="16" t="s">
        <v>15</v>
      </c>
      <c r="W9" s="16" t="s">
        <v>16</v>
      </c>
      <c r="X9" s="16" t="s">
        <v>18</v>
      </c>
      <c r="Y9" s="16"/>
      <c r="Z9" s="16"/>
      <c r="AA9" s="16" t="s">
        <v>15</v>
      </c>
      <c r="AB9" s="16" t="s">
        <v>16</v>
      </c>
      <c r="AC9" s="16" t="s">
        <v>18</v>
      </c>
      <c r="AD9" s="16" t="s">
        <v>1128</v>
      </c>
      <c r="AE9" s="16" t="s">
        <v>19</v>
      </c>
      <c r="AF9" s="16" t="s">
        <v>20</v>
      </c>
      <c r="AG9" s="16" t="s">
        <v>21</v>
      </c>
      <c r="AH9" s="16" t="s">
        <v>22</v>
      </c>
      <c r="AI9" s="16" t="s">
        <v>23</v>
      </c>
      <c r="AJ9" s="16" t="s">
        <v>24</v>
      </c>
      <c r="AK9" s="16" t="s">
        <v>25</v>
      </c>
      <c r="AL9" s="16" t="s">
        <v>26</v>
      </c>
      <c r="AM9" s="16" t="s">
        <v>27</v>
      </c>
      <c r="AP9" s="16" t="s">
        <v>15</v>
      </c>
      <c r="AQ9" s="16" t="s">
        <v>16</v>
      </c>
      <c r="AR9" s="16" t="s">
        <v>18</v>
      </c>
      <c r="AS9" s="16"/>
      <c r="AT9" s="16"/>
      <c r="AV9" s="16"/>
      <c r="AW9" s="16"/>
      <c r="AX9" s="16"/>
      <c r="AY9" s="16"/>
      <c r="AZ9" s="16"/>
      <c r="BA9" s="16"/>
      <c r="BB9" s="16"/>
    </row>
    <row r="10" spans="2:54" x14ac:dyDescent="0.25">
      <c r="B10" s="16" t="s">
        <v>1</v>
      </c>
      <c r="C10" s="16" t="s">
        <v>29</v>
      </c>
      <c r="D10" s="16">
        <v>2</v>
      </c>
      <c r="G10" s="16" t="s">
        <v>1</v>
      </c>
      <c r="H10" s="16" t="s">
        <v>29</v>
      </c>
      <c r="I10" s="16">
        <v>2</v>
      </c>
      <c r="J10" s="1">
        <v>0.145985401459854</v>
      </c>
      <c r="K10" s="16" t="s">
        <v>30</v>
      </c>
      <c r="L10" s="16" t="s">
        <v>31</v>
      </c>
      <c r="V10" s="16" t="s">
        <v>3</v>
      </c>
      <c r="W10" s="16" t="s">
        <v>33</v>
      </c>
      <c r="X10" s="16">
        <v>3</v>
      </c>
      <c r="Y10" s="16"/>
      <c r="Z10" s="16"/>
      <c r="AA10" s="4" t="s">
        <v>3</v>
      </c>
      <c r="AB10" s="4" t="s">
        <v>33</v>
      </c>
      <c r="AC10" s="4">
        <v>3</v>
      </c>
      <c r="AD10" s="23">
        <v>0.49425287356321801</v>
      </c>
      <c r="AE10" s="4" t="s">
        <v>34</v>
      </c>
      <c r="AF10" s="4" t="s">
        <v>2075</v>
      </c>
      <c r="AG10" s="4" t="s">
        <v>36</v>
      </c>
      <c r="AP10" s="16" t="s">
        <v>3</v>
      </c>
      <c r="AQ10" s="16" t="s">
        <v>33</v>
      </c>
      <c r="AR10" s="16">
        <v>2</v>
      </c>
      <c r="AS10" s="1"/>
      <c r="AT10" s="16"/>
    </row>
    <row r="11" spans="2:54" x14ac:dyDescent="0.25">
      <c r="B11" s="16" t="s">
        <v>1</v>
      </c>
      <c r="C11" s="16" t="s">
        <v>30</v>
      </c>
      <c r="D11" s="16">
        <v>2</v>
      </c>
      <c r="G11" s="16" t="s">
        <v>1</v>
      </c>
      <c r="H11" s="16" t="s">
        <v>30</v>
      </c>
      <c r="I11" s="16">
        <v>2</v>
      </c>
      <c r="J11" s="1">
        <v>0.145985401459854</v>
      </c>
      <c r="K11" s="16" t="s">
        <v>29</v>
      </c>
      <c r="L11" s="16" t="s">
        <v>31</v>
      </c>
      <c r="V11" s="16" t="s">
        <v>3</v>
      </c>
      <c r="W11" s="16" t="s">
        <v>34</v>
      </c>
      <c r="X11" s="16">
        <v>2</v>
      </c>
      <c r="Y11" s="16"/>
      <c r="Z11" s="16"/>
      <c r="AA11" s="16" t="s">
        <v>9</v>
      </c>
      <c r="AB11" s="16" t="s">
        <v>2066</v>
      </c>
      <c r="AC11" s="16">
        <v>2</v>
      </c>
      <c r="AD11" s="1">
        <v>0.1</v>
      </c>
      <c r="AE11" s="16" t="s">
        <v>2068</v>
      </c>
      <c r="AF11" s="16" t="s">
        <v>1726</v>
      </c>
      <c r="AP11" s="16" t="s">
        <v>9</v>
      </c>
      <c r="AQ11" s="16" t="s">
        <v>2066</v>
      </c>
      <c r="AR11" s="16">
        <v>2</v>
      </c>
      <c r="AS11" s="1"/>
      <c r="AT11" s="16"/>
    </row>
    <row r="12" spans="2:54" x14ac:dyDescent="0.25">
      <c r="B12" s="16" t="s">
        <v>1</v>
      </c>
      <c r="C12" s="16" t="s">
        <v>31</v>
      </c>
      <c r="D12" s="16">
        <v>2</v>
      </c>
      <c r="G12" s="4" t="s">
        <v>1</v>
      </c>
      <c r="H12" s="4" t="s">
        <v>31</v>
      </c>
      <c r="I12" s="4">
        <v>2</v>
      </c>
      <c r="J12" s="6">
        <v>0.145985401459854</v>
      </c>
      <c r="K12" s="4" t="s">
        <v>29</v>
      </c>
      <c r="L12" s="4" t="s">
        <v>30</v>
      </c>
      <c r="V12" s="16" t="s">
        <v>3</v>
      </c>
      <c r="W12" s="16" t="s">
        <v>36</v>
      </c>
      <c r="X12" s="16">
        <v>2</v>
      </c>
      <c r="Y12" s="16"/>
      <c r="Z12" s="16"/>
      <c r="AA12" s="16" t="s">
        <v>9</v>
      </c>
      <c r="AB12" s="16" t="s">
        <v>2067</v>
      </c>
      <c r="AC12" s="16">
        <v>2</v>
      </c>
      <c r="AD12" s="1">
        <v>0.1</v>
      </c>
      <c r="AE12" s="16" t="s">
        <v>2068</v>
      </c>
      <c r="AF12" s="16" t="s">
        <v>1726</v>
      </c>
      <c r="AP12" s="16" t="s">
        <v>9</v>
      </c>
      <c r="AQ12" s="16" t="s">
        <v>2067</v>
      </c>
      <c r="AR12" s="16">
        <v>2</v>
      </c>
      <c r="AS12" s="1"/>
      <c r="AT12" s="16"/>
    </row>
    <row r="13" spans="2:54" x14ac:dyDescent="0.25">
      <c r="B13" s="16" t="s">
        <v>3</v>
      </c>
      <c r="C13" s="16" t="s">
        <v>33</v>
      </c>
      <c r="D13" s="16">
        <v>3</v>
      </c>
      <c r="G13" s="4" t="s">
        <v>3</v>
      </c>
      <c r="H13" s="4" t="s">
        <v>33</v>
      </c>
      <c r="I13" s="4">
        <v>3</v>
      </c>
      <c r="J13" s="6">
        <v>0.49425287356321801</v>
      </c>
      <c r="K13" s="4" t="s">
        <v>34</v>
      </c>
      <c r="L13" s="4" t="s">
        <v>2075</v>
      </c>
      <c r="M13" s="4" t="s">
        <v>36</v>
      </c>
      <c r="V13" s="16" t="s">
        <v>9</v>
      </c>
      <c r="W13" s="16" t="s">
        <v>2066</v>
      </c>
      <c r="X13" s="16">
        <v>3</v>
      </c>
      <c r="Y13" s="16"/>
      <c r="Z13" s="16"/>
      <c r="AA13" s="16" t="s">
        <v>9</v>
      </c>
      <c r="AB13" s="16" t="s">
        <v>41</v>
      </c>
      <c r="AC13" s="16">
        <v>4</v>
      </c>
      <c r="AD13" s="1">
        <v>0.23749999999999999</v>
      </c>
      <c r="AE13" s="16" t="s">
        <v>42</v>
      </c>
      <c r="AF13" s="16" t="s">
        <v>43</v>
      </c>
      <c r="AG13" s="16" t="s">
        <v>44</v>
      </c>
      <c r="AH13" s="16" t="s">
        <v>40</v>
      </c>
      <c r="AP13" s="16" t="s">
        <v>9</v>
      </c>
      <c r="AQ13" s="16" t="s">
        <v>41</v>
      </c>
      <c r="AR13" s="16">
        <v>4</v>
      </c>
      <c r="AS13" s="1"/>
      <c r="AT13" s="16"/>
    </row>
    <row r="14" spans="2:54" x14ac:dyDescent="0.25">
      <c r="B14" s="16" t="s">
        <v>3</v>
      </c>
      <c r="C14" s="16" t="s">
        <v>34</v>
      </c>
      <c r="D14" s="16">
        <v>2</v>
      </c>
      <c r="G14" s="16" t="s">
        <v>3</v>
      </c>
      <c r="H14" s="16" t="s">
        <v>34</v>
      </c>
      <c r="I14" s="16">
        <v>2</v>
      </c>
      <c r="J14" s="1">
        <v>0.20689655172413701</v>
      </c>
      <c r="K14" s="16" t="s">
        <v>33</v>
      </c>
      <c r="L14" s="16" t="s">
        <v>38</v>
      </c>
      <c r="V14" s="16" t="s">
        <v>9</v>
      </c>
      <c r="W14" s="16" t="s">
        <v>2067</v>
      </c>
      <c r="X14" s="16">
        <v>3</v>
      </c>
      <c r="Y14" s="16"/>
      <c r="Z14" s="16"/>
      <c r="AA14" s="16" t="s">
        <v>9</v>
      </c>
      <c r="AB14" s="16" t="s">
        <v>42</v>
      </c>
      <c r="AC14" s="16">
        <v>7</v>
      </c>
      <c r="AD14" s="1">
        <v>0.2</v>
      </c>
      <c r="AE14" s="16" t="s">
        <v>41</v>
      </c>
      <c r="AF14" s="16" t="s">
        <v>43</v>
      </c>
      <c r="AG14" s="16" t="s">
        <v>44</v>
      </c>
      <c r="AH14" s="16" t="s">
        <v>40</v>
      </c>
      <c r="AI14" s="16" t="s">
        <v>1687</v>
      </c>
      <c r="AJ14" s="16" t="s">
        <v>2068</v>
      </c>
      <c r="AK14" s="16" t="s">
        <v>1726</v>
      </c>
      <c r="AP14" s="16" t="s">
        <v>9</v>
      </c>
      <c r="AQ14" s="16" t="s">
        <v>42</v>
      </c>
      <c r="AR14" s="16">
        <v>6</v>
      </c>
      <c r="AS14" s="1"/>
      <c r="AT14" s="16"/>
    </row>
    <row r="15" spans="2:54" x14ac:dyDescent="0.25">
      <c r="B15" s="16" t="s">
        <v>3</v>
      </c>
      <c r="C15" s="16" t="s">
        <v>2075</v>
      </c>
      <c r="D15" s="16">
        <v>2</v>
      </c>
      <c r="G15" s="16" t="s">
        <v>3</v>
      </c>
      <c r="H15" s="16" t="s">
        <v>2075</v>
      </c>
      <c r="I15" s="16">
        <v>2</v>
      </c>
      <c r="J15" s="1">
        <v>0.20689655172413701</v>
      </c>
      <c r="K15" s="16" t="s">
        <v>33</v>
      </c>
      <c r="L15" s="16" t="s">
        <v>38</v>
      </c>
      <c r="V15" s="16" t="s">
        <v>9</v>
      </c>
      <c r="W15" s="16" t="s">
        <v>41</v>
      </c>
      <c r="X15" s="16">
        <v>4</v>
      </c>
      <c r="Y15" s="16"/>
      <c r="Z15" s="16"/>
      <c r="AA15" s="16" t="s">
        <v>9</v>
      </c>
      <c r="AB15" s="16" t="s">
        <v>43</v>
      </c>
      <c r="AC15" s="16">
        <v>7</v>
      </c>
      <c r="AD15" s="1">
        <v>0.2</v>
      </c>
      <c r="AE15" s="16" t="s">
        <v>41</v>
      </c>
      <c r="AF15" s="16" t="s">
        <v>42</v>
      </c>
      <c r="AG15" s="16" t="s">
        <v>44</v>
      </c>
      <c r="AH15" s="16" t="s">
        <v>40</v>
      </c>
      <c r="AI15" s="16" t="s">
        <v>1687</v>
      </c>
      <c r="AJ15" s="16" t="s">
        <v>2068</v>
      </c>
      <c r="AK15" s="16" t="s">
        <v>1726</v>
      </c>
      <c r="AP15" s="16" t="s">
        <v>9</v>
      </c>
      <c r="AQ15" s="16" t="s">
        <v>43</v>
      </c>
      <c r="AR15" s="16">
        <v>7</v>
      </c>
      <c r="AS15" s="1"/>
      <c r="AT15" s="16"/>
    </row>
    <row r="16" spans="2:54" x14ac:dyDescent="0.25">
      <c r="B16" s="16" t="s">
        <v>3</v>
      </c>
      <c r="C16" s="16" t="s">
        <v>36</v>
      </c>
      <c r="D16" s="16">
        <v>2</v>
      </c>
      <c r="G16" s="16" t="s">
        <v>3</v>
      </c>
      <c r="H16" s="16" t="s">
        <v>36</v>
      </c>
      <c r="I16" s="16">
        <v>2</v>
      </c>
      <c r="J16" s="1">
        <v>0.29310344827586199</v>
      </c>
      <c r="K16" s="16" t="s">
        <v>33</v>
      </c>
      <c r="L16" s="16" t="s">
        <v>37</v>
      </c>
      <c r="V16" s="16" t="s">
        <v>9</v>
      </c>
      <c r="W16" s="16" t="s">
        <v>42</v>
      </c>
      <c r="X16" s="16">
        <v>7</v>
      </c>
      <c r="Y16" s="16"/>
      <c r="Z16" s="16"/>
      <c r="AA16" s="4" t="s">
        <v>9</v>
      </c>
      <c r="AB16" s="4" t="s">
        <v>44</v>
      </c>
      <c r="AC16" s="4">
        <v>7</v>
      </c>
      <c r="AD16" s="6">
        <v>0.2</v>
      </c>
      <c r="AE16" s="4" t="s">
        <v>41</v>
      </c>
      <c r="AF16" s="4" t="s">
        <v>42</v>
      </c>
      <c r="AG16" s="4" t="s">
        <v>43</v>
      </c>
      <c r="AH16" s="4" t="s">
        <v>40</v>
      </c>
      <c r="AI16" s="4" t="s">
        <v>1687</v>
      </c>
      <c r="AJ16" s="4" t="s">
        <v>2068</v>
      </c>
      <c r="AK16" s="4" t="s">
        <v>1726</v>
      </c>
      <c r="AP16" s="16" t="s">
        <v>9</v>
      </c>
      <c r="AQ16" s="16" t="s">
        <v>44</v>
      </c>
      <c r="AR16" s="16">
        <v>6</v>
      </c>
      <c r="AS16" s="1"/>
      <c r="AT16" s="16"/>
    </row>
    <row r="17" spans="2:46" x14ac:dyDescent="0.25">
      <c r="B17" s="16" t="s">
        <v>3</v>
      </c>
      <c r="C17" s="16" t="s">
        <v>38</v>
      </c>
      <c r="D17" s="16">
        <v>2</v>
      </c>
      <c r="G17" s="16" t="s">
        <v>3</v>
      </c>
      <c r="H17" s="16" t="s">
        <v>38</v>
      </c>
      <c r="I17" s="16">
        <v>2</v>
      </c>
      <c r="J17" s="1">
        <v>0.44827586206896503</v>
      </c>
      <c r="K17" s="16" t="s">
        <v>34</v>
      </c>
      <c r="L17" s="16" t="s">
        <v>2075</v>
      </c>
      <c r="V17" s="16" t="s">
        <v>9</v>
      </c>
      <c r="W17" s="16" t="s">
        <v>43</v>
      </c>
      <c r="X17" s="16">
        <v>7</v>
      </c>
      <c r="Y17" s="16"/>
      <c r="Z17" s="16"/>
      <c r="AA17" s="16" t="s">
        <v>9</v>
      </c>
      <c r="AB17" s="16" t="s">
        <v>40</v>
      </c>
      <c r="AC17" s="16">
        <v>4</v>
      </c>
      <c r="AD17" s="1">
        <v>0.22500000000000001</v>
      </c>
      <c r="AE17" s="16" t="s">
        <v>41</v>
      </c>
      <c r="AF17" s="16" t="s">
        <v>42</v>
      </c>
      <c r="AG17" s="16" t="s">
        <v>43</v>
      </c>
      <c r="AH17" s="16" t="s">
        <v>44</v>
      </c>
      <c r="AP17" s="16" t="s">
        <v>9</v>
      </c>
      <c r="AQ17" s="16" t="s">
        <v>40</v>
      </c>
      <c r="AR17" s="16">
        <v>4</v>
      </c>
      <c r="AS17" s="1"/>
      <c r="AT17" s="16"/>
    </row>
    <row r="18" spans="2:46" x14ac:dyDescent="0.25">
      <c r="B18" s="16" t="s">
        <v>8</v>
      </c>
      <c r="C18" s="16" t="s">
        <v>39</v>
      </c>
      <c r="D18" s="16">
        <v>2</v>
      </c>
      <c r="G18" s="4" t="s">
        <v>8</v>
      </c>
      <c r="H18" s="4" t="s">
        <v>39</v>
      </c>
      <c r="I18" s="4">
        <v>2</v>
      </c>
      <c r="J18" s="6">
        <v>0.5</v>
      </c>
      <c r="K18" s="4" t="s">
        <v>2077</v>
      </c>
      <c r="L18" s="4" t="s">
        <v>2069</v>
      </c>
      <c r="V18" s="16" t="s">
        <v>9</v>
      </c>
      <c r="W18" s="16" t="s">
        <v>44</v>
      </c>
      <c r="X18" s="16">
        <v>7</v>
      </c>
      <c r="Y18" s="16"/>
      <c r="Z18" s="16"/>
      <c r="AA18" s="16" t="s">
        <v>9</v>
      </c>
      <c r="AB18" s="16" t="s">
        <v>1687</v>
      </c>
      <c r="AC18" s="16">
        <v>5</v>
      </c>
      <c r="AD18" s="1">
        <v>0.16</v>
      </c>
      <c r="AE18" s="16" t="s">
        <v>42</v>
      </c>
      <c r="AF18" s="16" t="s">
        <v>43</v>
      </c>
      <c r="AG18" s="16" t="s">
        <v>44</v>
      </c>
      <c r="AH18" s="16" t="s">
        <v>2068</v>
      </c>
      <c r="AI18" s="16" t="s">
        <v>1726</v>
      </c>
      <c r="AP18" s="16" t="s">
        <v>9</v>
      </c>
      <c r="AQ18" s="16" t="s">
        <v>1687</v>
      </c>
      <c r="AR18" s="16">
        <v>5</v>
      </c>
      <c r="AS18" s="1"/>
      <c r="AT18" s="16"/>
    </row>
    <row r="19" spans="2:46" x14ac:dyDescent="0.25">
      <c r="B19" s="16" t="s">
        <v>9</v>
      </c>
      <c r="C19" s="16" t="s">
        <v>2066</v>
      </c>
      <c r="D19" s="16">
        <v>4</v>
      </c>
      <c r="G19" s="16" t="s">
        <v>9</v>
      </c>
      <c r="H19" s="16" t="s">
        <v>2066</v>
      </c>
      <c r="I19" s="16">
        <v>3</v>
      </c>
      <c r="J19" s="1">
        <v>0.4</v>
      </c>
      <c r="K19" s="16" t="s">
        <v>2067</v>
      </c>
      <c r="L19" s="16" t="s">
        <v>2068</v>
      </c>
      <c r="M19" s="16" t="s">
        <v>1726</v>
      </c>
      <c r="V19" s="16" t="s">
        <v>9</v>
      </c>
      <c r="W19" s="16" t="s">
        <v>40</v>
      </c>
      <c r="X19" s="16">
        <v>4</v>
      </c>
      <c r="Y19" s="16"/>
      <c r="Z19" s="16"/>
      <c r="AA19" s="16" t="s">
        <v>9</v>
      </c>
      <c r="AB19" s="16" t="s">
        <v>2068</v>
      </c>
      <c r="AC19" s="16">
        <v>7</v>
      </c>
      <c r="AD19" s="1">
        <v>0.40714285714285697</v>
      </c>
      <c r="AE19" s="16" t="s">
        <v>2066</v>
      </c>
      <c r="AF19" s="16" t="s">
        <v>2067</v>
      </c>
      <c r="AG19" s="16" t="s">
        <v>42</v>
      </c>
      <c r="AH19" s="16" t="s">
        <v>43</v>
      </c>
      <c r="AI19" s="16" t="s">
        <v>44</v>
      </c>
      <c r="AJ19" s="16" t="s">
        <v>1687</v>
      </c>
      <c r="AK19" s="16" t="s">
        <v>1726</v>
      </c>
      <c r="AP19" s="16" t="s">
        <v>9</v>
      </c>
      <c r="AQ19" s="16" t="s">
        <v>2068</v>
      </c>
      <c r="AR19" s="16">
        <v>7</v>
      </c>
      <c r="AS19" s="1"/>
      <c r="AT19" s="16"/>
    </row>
    <row r="20" spans="2:46" x14ac:dyDescent="0.25">
      <c r="B20" s="16" t="s">
        <v>9</v>
      </c>
      <c r="C20" s="16" t="s">
        <v>2067</v>
      </c>
      <c r="D20" s="16">
        <v>3</v>
      </c>
      <c r="G20" s="16" t="s">
        <v>9</v>
      </c>
      <c r="H20" s="16" t="s">
        <v>2067</v>
      </c>
      <c r="I20" s="16">
        <v>3</v>
      </c>
      <c r="J20" s="1">
        <v>0.4</v>
      </c>
      <c r="K20" s="16" t="s">
        <v>2066</v>
      </c>
      <c r="L20" s="16" t="s">
        <v>2068</v>
      </c>
      <c r="M20" s="16" t="s">
        <v>1726</v>
      </c>
      <c r="V20" s="16" t="s">
        <v>9</v>
      </c>
      <c r="W20" s="16" t="s">
        <v>1687</v>
      </c>
      <c r="X20" s="16">
        <v>5</v>
      </c>
      <c r="Y20" s="16"/>
      <c r="Z20" s="16"/>
      <c r="AA20" s="16" t="s">
        <v>9</v>
      </c>
      <c r="AB20" s="16" t="s">
        <v>1726</v>
      </c>
      <c r="AC20" s="16">
        <v>7</v>
      </c>
      <c r="AD20" s="1">
        <v>0.40714285714285697</v>
      </c>
      <c r="AE20" s="16" t="s">
        <v>2066</v>
      </c>
      <c r="AF20" s="16" t="s">
        <v>2067</v>
      </c>
      <c r="AG20" s="16" t="s">
        <v>42</v>
      </c>
      <c r="AH20" s="16" t="s">
        <v>43</v>
      </c>
      <c r="AI20" s="16" t="s">
        <v>44</v>
      </c>
      <c r="AJ20" s="16" t="s">
        <v>1687</v>
      </c>
      <c r="AK20" s="16" t="s">
        <v>2068</v>
      </c>
      <c r="AP20" s="16" t="s">
        <v>9</v>
      </c>
      <c r="AQ20" s="16" t="s">
        <v>1726</v>
      </c>
      <c r="AR20" s="16">
        <v>7</v>
      </c>
      <c r="AS20" s="1"/>
      <c r="AT20" s="16"/>
    </row>
    <row r="21" spans="2:46" x14ac:dyDescent="0.25">
      <c r="B21" s="16" t="s">
        <v>9</v>
      </c>
      <c r="C21" s="16" t="s">
        <v>41</v>
      </c>
      <c r="D21" s="16">
        <v>4</v>
      </c>
      <c r="G21" s="16" t="s">
        <v>9</v>
      </c>
      <c r="H21" s="16" t="s">
        <v>41</v>
      </c>
      <c r="I21" s="16">
        <v>4</v>
      </c>
      <c r="J21" s="1">
        <v>0.23749999999999999</v>
      </c>
      <c r="K21" s="16" t="s">
        <v>42</v>
      </c>
      <c r="L21" s="16" t="s">
        <v>43</v>
      </c>
      <c r="M21" s="16" t="s">
        <v>44</v>
      </c>
      <c r="N21" s="16" t="s">
        <v>40</v>
      </c>
      <c r="V21" s="16" t="s">
        <v>9</v>
      </c>
      <c r="W21" s="16" t="s">
        <v>2068</v>
      </c>
      <c r="X21" s="16">
        <v>7</v>
      </c>
      <c r="Y21" s="16"/>
      <c r="Z21" s="16"/>
      <c r="AA21" s="4" t="s">
        <v>12</v>
      </c>
      <c r="AB21" s="4" t="s">
        <v>45</v>
      </c>
      <c r="AC21" s="4">
        <v>4</v>
      </c>
      <c r="AD21" s="6">
        <v>0.95560747663551404</v>
      </c>
      <c r="AE21" s="4" t="s">
        <v>46</v>
      </c>
      <c r="AF21" s="4" t="s">
        <v>2076</v>
      </c>
      <c r="AG21" s="4" t="s">
        <v>1900</v>
      </c>
      <c r="AH21" s="4" t="s">
        <v>1901</v>
      </c>
      <c r="AP21" s="16" t="s">
        <v>12</v>
      </c>
      <c r="AQ21" s="16" t="s">
        <v>45</v>
      </c>
      <c r="AR21" s="16">
        <v>3</v>
      </c>
      <c r="AS21" s="1"/>
      <c r="AT21" s="16"/>
    </row>
    <row r="22" spans="2:46" x14ac:dyDescent="0.25">
      <c r="B22" s="16" t="s">
        <v>9</v>
      </c>
      <c r="C22" s="16" t="s">
        <v>42</v>
      </c>
      <c r="D22" s="16">
        <v>7</v>
      </c>
      <c r="G22" s="16" t="s">
        <v>9</v>
      </c>
      <c r="H22" s="16" t="s">
        <v>42</v>
      </c>
      <c r="I22" s="16">
        <v>7</v>
      </c>
      <c r="J22" s="1">
        <v>0.2</v>
      </c>
      <c r="K22" s="16" t="s">
        <v>41</v>
      </c>
      <c r="L22" s="16" t="s">
        <v>43</v>
      </c>
      <c r="M22" s="16" t="s">
        <v>44</v>
      </c>
      <c r="N22" s="16" t="s">
        <v>40</v>
      </c>
      <c r="O22" s="16" t="s">
        <v>1687</v>
      </c>
      <c r="P22" s="16" t="s">
        <v>2068</v>
      </c>
      <c r="Q22" s="16" t="s">
        <v>1726</v>
      </c>
      <c r="V22" s="16" t="s">
        <v>9</v>
      </c>
      <c r="W22" s="16" t="s">
        <v>1726</v>
      </c>
      <c r="X22" s="16">
        <v>7</v>
      </c>
      <c r="Y22" s="16"/>
      <c r="Z22" s="16"/>
      <c r="AA22" s="16" t="s">
        <v>12</v>
      </c>
      <c r="AB22" s="16" t="s">
        <v>46</v>
      </c>
      <c r="AC22" s="16">
        <v>4</v>
      </c>
      <c r="AD22" s="1">
        <v>0.95560747663551404</v>
      </c>
      <c r="AE22" s="16" t="s">
        <v>45</v>
      </c>
      <c r="AF22" s="16" t="s">
        <v>2076</v>
      </c>
      <c r="AG22" s="16" t="s">
        <v>1900</v>
      </c>
      <c r="AH22" s="16" t="s">
        <v>1901</v>
      </c>
      <c r="AP22" s="16" t="s">
        <v>12</v>
      </c>
      <c r="AQ22" s="16" t="s">
        <v>46</v>
      </c>
      <c r="AR22" s="16">
        <v>3</v>
      </c>
      <c r="AS22" s="1"/>
      <c r="AT22" s="16"/>
    </row>
    <row r="23" spans="2:46" x14ac:dyDescent="0.25">
      <c r="B23" s="16" t="s">
        <v>9</v>
      </c>
      <c r="C23" s="16" t="s">
        <v>43</v>
      </c>
      <c r="D23" s="16">
        <v>7</v>
      </c>
      <c r="G23" s="16" t="s">
        <v>9</v>
      </c>
      <c r="H23" s="16" t="s">
        <v>43</v>
      </c>
      <c r="I23" s="16">
        <v>7</v>
      </c>
      <c r="J23" s="1">
        <v>0.2</v>
      </c>
      <c r="K23" s="16" t="s">
        <v>41</v>
      </c>
      <c r="L23" s="16" t="s">
        <v>42</v>
      </c>
      <c r="M23" s="16" t="s">
        <v>44</v>
      </c>
      <c r="N23" s="16" t="s">
        <v>40</v>
      </c>
      <c r="O23" s="16" t="s">
        <v>1687</v>
      </c>
      <c r="P23" s="16" t="s">
        <v>2068</v>
      </c>
      <c r="Q23" s="16" t="s">
        <v>1726</v>
      </c>
      <c r="V23" s="16" t="s">
        <v>12</v>
      </c>
      <c r="W23" s="16" t="s">
        <v>45</v>
      </c>
      <c r="X23" s="16">
        <v>4</v>
      </c>
      <c r="Y23" s="16"/>
      <c r="Z23" s="16"/>
      <c r="AA23" s="16" t="s">
        <v>12</v>
      </c>
      <c r="AB23" s="16" t="s">
        <v>2076</v>
      </c>
      <c r="AC23" s="16">
        <v>4</v>
      </c>
      <c r="AD23" s="1">
        <v>0.95560747663551404</v>
      </c>
      <c r="AE23" s="16" t="s">
        <v>45</v>
      </c>
      <c r="AF23" s="16" t="s">
        <v>46</v>
      </c>
      <c r="AG23" s="16" t="s">
        <v>1900</v>
      </c>
      <c r="AH23" s="16" t="s">
        <v>1901</v>
      </c>
      <c r="AP23" s="16" t="s">
        <v>12</v>
      </c>
      <c r="AQ23" s="16" t="s">
        <v>1900</v>
      </c>
      <c r="AR23" s="16">
        <v>3</v>
      </c>
      <c r="AS23" s="1"/>
      <c r="AT23" s="16"/>
    </row>
    <row r="24" spans="2:46" x14ac:dyDescent="0.25">
      <c r="B24" s="16" t="s">
        <v>9</v>
      </c>
      <c r="C24" s="16" t="s">
        <v>44</v>
      </c>
      <c r="D24" s="16">
        <v>7</v>
      </c>
      <c r="G24" s="4" t="s">
        <v>9</v>
      </c>
      <c r="H24" s="4" t="s">
        <v>44</v>
      </c>
      <c r="I24" s="4">
        <v>7</v>
      </c>
      <c r="J24" s="6">
        <v>0.2</v>
      </c>
      <c r="K24" s="4" t="s">
        <v>41</v>
      </c>
      <c r="L24" s="4" t="s">
        <v>42</v>
      </c>
      <c r="M24" s="4" t="s">
        <v>43</v>
      </c>
      <c r="N24" s="4" t="s">
        <v>40</v>
      </c>
      <c r="O24" s="4" t="s">
        <v>1687</v>
      </c>
      <c r="P24" s="4" t="s">
        <v>2068</v>
      </c>
      <c r="Q24" s="4" t="s">
        <v>1726</v>
      </c>
      <c r="V24" s="16" t="s">
        <v>12</v>
      </c>
      <c r="W24" s="16" t="s">
        <v>46</v>
      </c>
      <c r="X24" s="16">
        <v>4</v>
      </c>
      <c r="Y24" s="16"/>
      <c r="Z24" s="16"/>
      <c r="AA24" s="16" t="s">
        <v>12</v>
      </c>
      <c r="AB24" s="16" t="s">
        <v>1900</v>
      </c>
      <c r="AC24" s="16">
        <v>4</v>
      </c>
      <c r="AD24" s="1">
        <v>0.97780373831775702</v>
      </c>
      <c r="AE24" s="16" t="s">
        <v>45</v>
      </c>
      <c r="AF24" s="16" t="s">
        <v>46</v>
      </c>
      <c r="AG24" s="16" t="s">
        <v>2076</v>
      </c>
      <c r="AH24" s="16" t="s">
        <v>1901</v>
      </c>
      <c r="AP24" s="16" t="s">
        <v>12</v>
      </c>
      <c r="AQ24" s="16" t="s">
        <v>1901</v>
      </c>
      <c r="AR24" s="16">
        <v>3</v>
      </c>
      <c r="AS24" s="1"/>
      <c r="AT24" s="16"/>
    </row>
    <row r="25" spans="2:46" x14ac:dyDescent="0.25">
      <c r="B25" s="16" t="s">
        <v>9</v>
      </c>
      <c r="C25" s="16" t="s">
        <v>40</v>
      </c>
      <c r="D25" s="16">
        <v>4</v>
      </c>
      <c r="G25" s="16" t="s">
        <v>9</v>
      </c>
      <c r="H25" s="16" t="s">
        <v>40</v>
      </c>
      <c r="I25" s="16">
        <v>4</v>
      </c>
      <c r="J25" s="1">
        <v>0.22500000000000001</v>
      </c>
      <c r="K25" s="16" t="s">
        <v>41</v>
      </c>
      <c r="L25" s="16" t="s">
        <v>42</v>
      </c>
      <c r="M25" s="16" t="s">
        <v>43</v>
      </c>
      <c r="N25" s="16" t="s">
        <v>44</v>
      </c>
      <c r="V25" s="16" t="s">
        <v>12</v>
      </c>
      <c r="W25" s="16" t="s">
        <v>2076</v>
      </c>
      <c r="X25" s="16">
        <v>4</v>
      </c>
      <c r="Y25" s="16"/>
      <c r="Z25" s="16"/>
      <c r="AA25" s="16" t="s">
        <v>12</v>
      </c>
      <c r="AB25" s="16" t="s">
        <v>1901</v>
      </c>
      <c r="AC25" s="16">
        <v>4</v>
      </c>
      <c r="AD25" s="1">
        <v>0.97780373831775702</v>
      </c>
      <c r="AE25" s="16" t="s">
        <v>45</v>
      </c>
      <c r="AF25" s="16" t="s">
        <v>46</v>
      </c>
      <c r="AG25" s="16" t="s">
        <v>2076</v>
      </c>
      <c r="AH25" s="16" t="s">
        <v>1900</v>
      </c>
      <c r="AJ25" s="16" t="s">
        <v>2078</v>
      </c>
      <c r="AP25" s="16" t="s">
        <v>13</v>
      </c>
      <c r="AQ25" s="16" t="s">
        <v>48</v>
      </c>
      <c r="AR25" s="16">
        <v>8</v>
      </c>
      <c r="AS25" s="1"/>
      <c r="AT25" s="16"/>
    </row>
    <row r="26" spans="2:46" x14ac:dyDescent="0.25">
      <c r="B26" s="16" t="s">
        <v>9</v>
      </c>
      <c r="C26" s="16" t="s">
        <v>1687</v>
      </c>
      <c r="D26" s="16">
        <v>6</v>
      </c>
      <c r="G26" s="16" t="s">
        <v>9</v>
      </c>
      <c r="H26" s="16" t="s">
        <v>1687</v>
      </c>
      <c r="I26" s="16">
        <v>5</v>
      </c>
      <c r="J26" s="1">
        <v>0.16</v>
      </c>
      <c r="K26" s="16" t="s">
        <v>42</v>
      </c>
      <c r="L26" s="16" t="s">
        <v>43</v>
      </c>
      <c r="M26" s="16" t="s">
        <v>44</v>
      </c>
      <c r="N26" s="16" t="s">
        <v>2068</v>
      </c>
      <c r="O26" s="16" t="s">
        <v>1726</v>
      </c>
      <c r="V26" s="16" t="s">
        <v>12</v>
      </c>
      <c r="W26" s="16" t="s">
        <v>1900</v>
      </c>
      <c r="X26" s="16">
        <v>4</v>
      </c>
      <c r="Y26" s="16"/>
      <c r="Z26" s="16"/>
      <c r="AA26" s="4" t="s">
        <v>13</v>
      </c>
      <c r="AB26" s="4" t="s">
        <v>48</v>
      </c>
      <c r="AC26" s="4">
        <v>8</v>
      </c>
      <c r="AD26" s="6">
        <v>0.85714285714285698</v>
      </c>
      <c r="AE26" s="4" t="s">
        <v>49</v>
      </c>
      <c r="AF26" s="4" t="s">
        <v>50</v>
      </c>
      <c r="AG26" s="4" t="s">
        <v>51</v>
      </c>
      <c r="AH26" s="4" t="s">
        <v>52</v>
      </c>
      <c r="AI26" s="4" t="s">
        <v>53</v>
      </c>
      <c r="AJ26" s="4" t="s">
        <v>54</v>
      </c>
      <c r="AK26" s="4" t="s">
        <v>55</v>
      </c>
      <c r="AL26" s="4" t="s">
        <v>56</v>
      </c>
      <c r="AP26" s="16" t="s">
        <v>13</v>
      </c>
      <c r="AQ26" s="16" t="s">
        <v>49</v>
      </c>
      <c r="AR26" s="16">
        <v>8</v>
      </c>
      <c r="AS26" s="1"/>
      <c r="AT26" s="16"/>
    </row>
    <row r="27" spans="2:46" x14ac:dyDescent="0.25">
      <c r="B27" s="16" t="s">
        <v>9</v>
      </c>
      <c r="C27" s="16" t="s">
        <v>2068</v>
      </c>
      <c r="D27" s="16">
        <v>7</v>
      </c>
      <c r="G27" s="16" t="s">
        <v>9</v>
      </c>
      <c r="H27" s="16" t="s">
        <v>2068</v>
      </c>
      <c r="I27" s="16">
        <v>7</v>
      </c>
      <c r="J27" s="1">
        <v>0.40714285714285697</v>
      </c>
      <c r="K27" s="16" t="s">
        <v>2066</v>
      </c>
      <c r="L27" s="16" t="s">
        <v>2067</v>
      </c>
      <c r="M27" s="16" t="s">
        <v>42</v>
      </c>
      <c r="N27" s="16" t="s">
        <v>43</v>
      </c>
      <c r="O27" s="16" t="s">
        <v>44</v>
      </c>
      <c r="P27" s="16" t="s">
        <v>1687</v>
      </c>
      <c r="Q27" s="16" t="s">
        <v>1726</v>
      </c>
      <c r="V27" s="16" t="s">
        <v>12</v>
      </c>
      <c r="W27" s="16" t="s">
        <v>1901</v>
      </c>
      <c r="X27" s="16">
        <v>4</v>
      </c>
      <c r="Y27" s="16"/>
      <c r="Z27" s="16"/>
      <c r="AA27" s="16" t="s">
        <v>13</v>
      </c>
      <c r="AB27" s="16" t="s">
        <v>49</v>
      </c>
      <c r="AC27" s="16">
        <v>8</v>
      </c>
      <c r="AD27" s="1">
        <v>0.85714285714285698</v>
      </c>
      <c r="AE27" s="16" t="s">
        <v>48</v>
      </c>
      <c r="AF27" s="16" t="s">
        <v>50</v>
      </c>
      <c r="AG27" s="16" t="s">
        <v>51</v>
      </c>
      <c r="AH27" s="16" t="s">
        <v>52</v>
      </c>
      <c r="AI27" s="16" t="s">
        <v>53</v>
      </c>
      <c r="AJ27" s="16" t="s">
        <v>54</v>
      </c>
      <c r="AK27" s="16" t="s">
        <v>55</v>
      </c>
      <c r="AL27" s="16" t="s">
        <v>56</v>
      </c>
      <c r="AP27" s="16" t="s">
        <v>13</v>
      </c>
      <c r="AQ27" s="16" t="s">
        <v>50</v>
      </c>
      <c r="AR27" s="16">
        <v>8</v>
      </c>
      <c r="AS27" s="1"/>
      <c r="AT27" s="16"/>
    </row>
    <row r="28" spans="2:46" x14ac:dyDescent="0.25">
      <c r="B28" s="16" t="s">
        <v>9</v>
      </c>
      <c r="C28" s="16" t="s">
        <v>1726</v>
      </c>
      <c r="D28" s="16">
        <v>7</v>
      </c>
      <c r="G28" s="16" t="s">
        <v>9</v>
      </c>
      <c r="H28" s="16" t="s">
        <v>1726</v>
      </c>
      <c r="I28" s="16">
        <v>7</v>
      </c>
      <c r="J28" s="1">
        <v>0.40714285714285697</v>
      </c>
      <c r="K28" s="16" t="s">
        <v>2066</v>
      </c>
      <c r="L28" s="16" t="s">
        <v>2067</v>
      </c>
      <c r="M28" s="16" t="s">
        <v>42</v>
      </c>
      <c r="N28" s="16" t="s">
        <v>43</v>
      </c>
      <c r="O28" s="16" t="s">
        <v>44</v>
      </c>
      <c r="P28" s="16" t="s">
        <v>1687</v>
      </c>
      <c r="Q28" s="16" t="s">
        <v>2068</v>
      </c>
      <c r="V28" s="16" t="s">
        <v>13</v>
      </c>
      <c r="W28" s="16" t="s">
        <v>48</v>
      </c>
      <c r="X28" s="16">
        <v>8</v>
      </c>
      <c r="Y28" s="16"/>
      <c r="Z28" s="16"/>
      <c r="AA28" s="16" t="s">
        <v>13</v>
      </c>
      <c r="AB28" s="16" t="s">
        <v>50</v>
      </c>
      <c r="AC28" s="16">
        <v>8</v>
      </c>
      <c r="AD28" s="1">
        <v>0.89285714285714202</v>
      </c>
      <c r="AE28" s="16" t="s">
        <v>48</v>
      </c>
      <c r="AF28" s="16" t="s">
        <v>49</v>
      </c>
      <c r="AG28" s="16" t="s">
        <v>51</v>
      </c>
      <c r="AH28" s="16" t="s">
        <v>52</v>
      </c>
      <c r="AI28" s="16" t="s">
        <v>53</v>
      </c>
      <c r="AJ28" s="16" t="s">
        <v>54</v>
      </c>
      <c r="AK28" s="16" t="s">
        <v>55</v>
      </c>
      <c r="AL28" s="16" t="s">
        <v>56</v>
      </c>
      <c r="AP28" s="16" t="s">
        <v>13</v>
      </c>
      <c r="AQ28" s="16" t="s">
        <v>51</v>
      </c>
      <c r="AR28" s="16">
        <v>8</v>
      </c>
      <c r="AS28" s="1"/>
      <c r="AT28" s="16"/>
    </row>
    <row r="29" spans="2:46" x14ac:dyDescent="0.25">
      <c r="B29" s="16" t="s">
        <v>12</v>
      </c>
      <c r="C29" s="16" t="s">
        <v>45</v>
      </c>
      <c r="D29" s="16">
        <v>4</v>
      </c>
      <c r="G29" s="4" t="s">
        <v>12</v>
      </c>
      <c r="H29" s="4" t="s">
        <v>45</v>
      </c>
      <c r="I29" s="4">
        <v>4</v>
      </c>
      <c r="J29" s="6">
        <v>0.95560747663551404</v>
      </c>
      <c r="K29" s="4" t="s">
        <v>46</v>
      </c>
      <c r="L29" s="4" t="s">
        <v>2076</v>
      </c>
      <c r="M29" s="4" t="s">
        <v>1900</v>
      </c>
      <c r="N29" s="4" t="s">
        <v>1901</v>
      </c>
      <c r="V29" s="16" t="s">
        <v>13</v>
      </c>
      <c r="W29" s="16" t="s">
        <v>49</v>
      </c>
      <c r="X29" s="16">
        <v>8</v>
      </c>
      <c r="Y29" s="16"/>
      <c r="Z29" s="16"/>
      <c r="AA29" s="16" t="s">
        <v>13</v>
      </c>
      <c r="AB29" s="16" t="s">
        <v>51</v>
      </c>
      <c r="AC29" s="16">
        <v>8</v>
      </c>
      <c r="AD29" s="1">
        <v>0.89285714285714202</v>
      </c>
      <c r="AE29" s="16" t="s">
        <v>48</v>
      </c>
      <c r="AF29" s="16" t="s">
        <v>49</v>
      </c>
      <c r="AG29" s="16" t="s">
        <v>50</v>
      </c>
      <c r="AH29" s="16" t="s">
        <v>52</v>
      </c>
      <c r="AI29" s="16" t="s">
        <v>53</v>
      </c>
      <c r="AJ29" s="16" t="s">
        <v>54</v>
      </c>
      <c r="AK29" s="16" t="s">
        <v>55</v>
      </c>
      <c r="AL29" s="16" t="s">
        <v>56</v>
      </c>
      <c r="AP29" s="16" t="s">
        <v>13</v>
      </c>
      <c r="AQ29" s="16" t="s">
        <v>52</v>
      </c>
      <c r="AR29" s="16">
        <v>8</v>
      </c>
      <c r="AS29" s="1"/>
      <c r="AT29" s="16"/>
    </row>
    <row r="30" spans="2:46" x14ac:dyDescent="0.25">
      <c r="B30" s="16" t="s">
        <v>12</v>
      </c>
      <c r="C30" s="16" t="s">
        <v>46</v>
      </c>
      <c r="D30" s="16">
        <v>4</v>
      </c>
      <c r="G30" s="16" t="s">
        <v>12</v>
      </c>
      <c r="H30" s="16" t="s">
        <v>46</v>
      </c>
      <c r="I30" s="16">
        <v>4</v>
      </c>
      <c r="J30" s="1">
        <v>0.95560747663551404</v>
      </c>
      <c r="K30" s="16" t="s">
        <v>45</v>
      </c>
      <c r="L30" s="16" t="s">
        <v>2076</v>
      </c>
      <c r="M30" s="16" t="s">
        <v>1900</v>
      </c>
      <c r="N30" s="16" t="s">
        <v>1901</v>
      </c>
      <c r="V30" s="16" t="s">
        <v>13</v>
      </c>
      <c r="W30" s="16" t="s">
        <v>50</v>
      </c>
      <c r="X30" s="16">
        <v>8</v>
      </c>
      <c r="Y30" s="16"/>
      <c r="Z30" s="16"/>
      <c r="AA30" s="16" t="s">
        <v>13</v>
      </c>
      <c r="AB30" s="16" t="s">
        <v>52</v>
      </c>
      <c r="AC30" s="16">
        <v>8</v>
      </c>
      <c r="AD30" s="1">
        <v>0.89285714285714202</v>
      </c>
      <c r="AE30" s="16" t="s">
        <v>48</v>
      </c>
      <c r="AF30" s="16" t="s">
        <v>49</v>
      </c>
      <c r="AG30" s="16" t="s">
        <v>50</v>
      </c>
      <c r="AH30" s="16" t="s">
        <v>51</v>
      </c>
      <c r="AI30" s="16" t="s">
        <v>53</v>
      </c>
      <c r="AJ30" s="16" t="s">
        <v>54</v>
      </c>
      <c r="AK30" s="16" t="s">
        <v>55</v>
      </c>
      <c r="AL30" s="16" t="s">
        <v>56</v>
      </c>
      <c r="AP30" s="16" t="s">
        <v>13</v>
      </c>
      <c r="AQ30" s="16" t="s">
        <v>53</v>
      </c>
      <c r="AR30" s="16">
        <v>8</v>
      </c>
      <c r="AS30" s="1"/>
      <c r="AT30" s="16"/>
    </row>
    <row r="31" spans="2:46" x14ac:dyDescent="0.25">
      <c r="B31" s="16" t="s">
        <v>12</v>
      </c>
      <c r="C31" s="16" t="s">
        <v>2076</v>
      </c>
      <c r="D31" s="16">
        <v>4</v>
      </c>
      <c r="G31" s="16" t="s">
        <v>12</v>
      </c>
      <c r="H31" s="16" t="s">
        <v>2076</v>
      </c>
      <c r="I31" s="16">
        <v>4</v>
      </c>
      <c r="J31" s="1">
        <v>0.95560747663551404</v>
      </c>
      <c r="K31" s="16" t="s">
        <v>45</v>
      </c>
      <c r="L31" s="16" t="s">
        <v>46</v>
      </c>
      <c r="M31" s="16" t="s">
        <v>1900</v>
      </c>
      <c r="N31" s="16" t="s">
        <v>1901</v>
      </c>
      <c r="V31" s="16" t="s">
        <v>13</v>
      </c>
      <c r="W31" s="16" t="s">
        <v>51</v>
      </c>
      <c r="X31" s="16">
        <v>8</v>
      </c>
      <c r="Y31" s="16"/>
      <c r="Z31" s="16"/>
      <c r="AA31" s="16" t="s">
        <v>13</v>
      </c>
      <c r="AB31" s="16" t="s">
        <v>53</v>
      </c>
      <c r="AC31" s="16">
        <v>8</v>
      </c>
      <c r="AD31" s="1">
        <v>0.875</v>
      </c>
      <c r="AE31" s="16" t="s">
        <v>48</v>
      </c>
      <c r="AF31" s="16" t="s">
        <v>49</v>
      </c>
      <c r="AG31" s="16" t="s">
        <v>50</v>
      </c>
      <c r="AH31" s="16" t="s">
        <v>51</v>
      </c>
      <c r="AI31" s="16" t="s">
        <v>52</v>
      </c>
      <c r="AJ31" s="16" t="s">
        <v>54</v>
      </c>
      <c r="AK31" s="16" t="s">
        <v>55</v>
      </c>
      <c r="AL31" s="16" t="s">
        <v>56</v>
      </c>
      <c r="AP31" s="16" t="s">
        <v>13</v>
      </c>
      <c r="AQ31" s="16" t="s">
        <v>54</v>
      </c>
      <c r="AR31" s="16">
        <v>8</v>
      </c>
      <c r="AS31" s="1"/>
      <c r="AT31" s="16"/>
    </row>
    <row r="32" spans="2:46" x14ac:dyDescent="0.25">
      <c r="B32" s="16" t="s">
        <v>12</v>
      </c>
      <c r="C32" s="16" t="s">
        <v>1900</v>
      </c>
      <c r="D32" s="16">
        <v>4</v>
      </c>
      <c r="G32" s="16" t="s">
        <v>12</v>
      </c>
      <c r="H32" s="16" t="s">
        <v>1900</v>
      </c>
      <c r="I32" s="16">
        <v>4</v>
      </c>
      <c r="J32" s="1">
        <v>0.97780373831775702</v>
      </c>
      <c r="K32" s="16" t="s">
        <v>45</v>
      </c>
      <c r="L32" s="16" t="s">
        <v>46</v>
      </c>
      <c r="M32" s="16" t="s">
        <v>2076</v>
      </c>
      <c r="N32" s="16" t="s">
        <v>1901</v>
      </c>
      <c r="V32" s="16" t="s">
        <v>13</v>
      </c>
      <c r="W32" s="16" t="s">
        <v>52</v>
      </c>
      <c r="X32" s="16">
        <v>8</v>
      </c>
      <c r="Y32" s="16"/>
      <c r="Z32" s="16"/>
      <c r="AA32" s="16" t="s">
        <v>13</v>
      </c>
      <c r="AB32" s="16" t="s">
        <v>54</v>
      </c>
      <c r="AC32" s="16">
        <v>8</v>
      </c>
      <c r="AD32" s="1">
        <v>0.875</v>
      </c>
      <c r="AE32" s="16" t="s">
        <v>48</v>
      </c>
      <c r="AF32" s="16" t="s">
        <v>49</v>
      </c>
      <c r="AG32" s="16" t="s">
        <v>50</v>
      </c>
      <c r="AH32" s="16" t="s">
        <v>51</v>
      </c>
      <c r="AI32" s="16" t="s">
        <v>52</v>
      </c>
      <c r="AJ32" s="16" t="s">
        <v>53</v>
      </c>
      <c r="AK32" s="16" t="s">
        <v>55</v>
      </c>
      <c r="AL32" s="16" t="s">
        <v>56</v>
      </c>
      <c r="AP32" s="16" t="s">
        <v>13</v>
      </c>
      <c r="AQ32" s="16" t="s">
        <v>55</v>
      </c>
      <c r="AR32" s="16">
        <v>8</v>
      </c>
      <c r="AS32" s="1"/>
      <c r="AT32" s="16"/>
    </row>
    <row r="33" spans="2:46" x14ac:dyDescent="0.25">
      <c r="B33" s="16" t="s">
        <v>12</v>
      </c>
      <c r="C33" s="16" t="s">
        <v>1901</v>
      </c>
      <c r="D33" s="16">
        <v>4</v>
      </c>
      <c r="G33" s="16" t="s">
        <v>12</v>
      </c>
      <c r="H33" s="16" t="s">
        <v>1901</v>
      </c>
      <c r="I33" s="16">
        <v>4</v>
      </c>
      <c r="J33" s="1">
        <v>0.97780373831775702</v>
      </c>
      <c r="K33" s="16" t="s">
        <v>45</v>
      </c>
      <c r="L33" s="16" t="s">
        <v>46</v>
      </c>
      <c r="M33" s="16" t="s">
        <v>2076</v>
      </c>
      <c r="N33" s="16" t="s">
        <v>1900</v>
      </c>
      <c r="V33" s="16" t="s">
        <v>13</v>
      </c>
      <c r="W33" s="16" t="s">
        <v>53</v>
      </c>
      <c r="X33" s="16">
        <v>8</v>
      </c>
      <c r="Y33" s="16"/>
      <c r="Z33" s="16"/>
      <c r="AA33" s="16" t="s">
        <v>13</v>
      </c>
      <c r="AB33" s="16" t="s">
        <v>55</v>
      </c>
      <c r="AC33" s="16">
        <v>8</v>
      </c>
      <c r="AD33" s="1">
        <v>0.85714285714285698</v>
      </c>
      <c r="AE33" s="16" t="s">
        <v>48</v>
      </c>
      <c r="AF33" s="16" t="s">
        <v>49</v>
      </c>
      <c r="AG33" s="16" t="s">
        <v>50</v>
      </c>
      <c r="AH33" s="16" t="s">
        <v>51</v>
      </c>
      <c r="AI33" s="16" t="s">
        <v>52</v>
      </c>
      <c r="AJ33" s="16" t="s">
        <v>53</v>
      </c>
      <c r="AK33" s="16" t="s">
        <v>54</v>
      </c>
      <c r="AL33" s="16" t="s">
        <v>56</v>
      </c>
      <c r="AP33" s="16" t="s">
        <v>13</v>
      </c>
      <c r="AQ33" s="16" t="s">
        <v>56</v>
      </c>
      <c r="AR33" s="16">
        <v>8</v>
      </c>
      <c r="AS33" s="1"/>
      <c r="AT33" s="16"/>
    </row>
    <row r="34" spans="2:46" x14ac:dyDescent="0.25">
      <c r="B34" s="16" t="s">
        <v>13</v>
      </c>
      <c r="C34" s="16" t="s">
        <v>48</v>
      </c>
      <c r="D34" s="16">
        <v>8</v>
      </c>
      <c r="G34" s="4" t="s">
        <v>13</v>
      </c>
      <c r="H34" s="4" t="s">
        <v>48</v>
      </c>
      <c r="I34" s="4">
        <v>8</v>
      </c>
      <c r="J34" s="6">
        <v>0.85714285714285698</v>
      </c>
      <c r="K34" s="4" t="s">
        <v>49</v>
      </c>
      <c r="L34" s="4" t="s">
        <v>50</v>
      </c>
      <c r="M34" s="4" t="s">
        <v>51</v>
      </c>
      <c r="N34" s="4" t="s">
        <v>52</v>
      </c>
      <c r="O34" s="4" t="s">
        <v>53</v>
      </c>
      <c r="P34" s="4" t="s">
        <v>54</v>
      </c>
      <c r="Q34" s="4" t="s">
        <v>55</v>
      </c>
      <c r="R34" s="4" t="s">
        <v>56</v>
      </c>
      <c r="V34" s="16" t="s">
        <v>13</v>
      </c>
      <c r="W34" s="16" t="s">
        <v>54</v>
      </c>
      <c r="X34" s="16">
        <v>8</v>
      </c>
      <c r="Y34" s="16"/>
      <c r="Z34" s="16"/>
      <c r="AA34" s="16" t="s">
        <v>13</v>
      </c>
      <c r="AB34" s="16" t="s">
        <v>56</v>
      </c>
      <c r="AC34" s="16">
        <v>8</v>
      </c>
      <c r="AD34" s="1">
        <v>0.85714285714285698</v>
      </c>
      <c r="AE34" s="16" t="s">
        <v>48</v>
      </c>
      <c r="AF34" s="16" t="s">
        <v>49</v>
      </c>
      <c r="AG34" s="16" t="s">
        <v>50</v>
      </c>
      <c r="AH34" s="16" t="s">
        <v>51</v>
      </c>
      <c r="AI34" s="16" t="s">
        <v>52</v>
      </c>
      <c r="AJ34" s="16" t="s">
        <v>53</v>
      </c>
      <c r="AK34" s="16" t="s">
        <v>54</v>
      </c>
      <c r="AL34" s="16" t="s">
        <v>55</v>
      </c>
      <c r="AP34" s="16"/>
      <c r="AQ34" s="16"/>
    </row>
    <row r="35" spans="2:46" x14ac:dyDescent="0.25">
      <c r="B35" s="16" t="s">
        <v>13</v>
      </c>
      <c r="C35" s="16" t="s">
        <v>49</v>
      </c>
      <c r="D35" s="16">
        <v>8</v>
      </c>
      <c r="G35" s="16" t="s">
        <v>13</v>
      </c>
      <c r="H35" s="16" t="s">
        <v>49</v>
      </c>
      <c r="I35" s="16">
        <v>8</v>
      </c>
      <c r="J35" s="1">
        <v>0.85714285714285698</v>
      </c>
      <c r="K35" s="16" t="s">
        <v>48</v>
      </c>
      <c r="L35" s="16" t="s">
        <v>50</v>
      </c>
      <c r="M35" s="16" t="s">
        <v>51</v>
      </c>
      <c r="N35" s="16" t="s">
        <v>52</v>
      </c>
      <c r="O35" s="16" t="s">
        <v>53</v>
      </c>
      <c r="P35" s="16" t="s">
        <v>54</v>
      </c>
      <c r="Q35" s="16" t="s">
        <v>55</v>
      </c>
      <c r="R35" s="16" t="s">
        <v>56</v>
      </c>
      <c r="V35" s="16" t="s">
        <v>13</v>
      </c>
      <c r="W35" s="16" t="s">
        <v>55</v>
      </c>
      <c r="X35" s="16">
        <v>8</v>
      </c>
      <c r="Y35" s="16"/>
      <c r="Z35" s="16"/>
      <c r="AP35" s="16"/>
      <c r="AQ35" s="16"/>
    </row>
    <row r="36" spans="2:46" x14ac:dyDescent="0.25">
      <c r="B36" s="16" t="s">
        <v>13</v>
      </c>
      <c r="C36" s="16" t="s">
        <v>50</v>
      </c>
      <c r="D36" s="16">
        <v>8</v>
      </c>
      <c r="G36" s="16" t="s">
        <v>13</v>
      </c>
      <c r="H36" s="16" t="s">
        <v>50</v>
      </c>
      <c r="I36" s="16">
        <v>8</v>
      </c>
      <c r="J36" s="1">
        <v>0.89285714285714202</v>
      </c>
      <c r="K36" s="16" t="s">
        <v>48</v>
      </c>
      <c r="L36" s="16" t="s">
        <v>49</v>
      </c>
      <c r="M36" s="16" t="s">
        <v>51</v>
      </c>
      <c r="N36" s="16" t="s">
        <v>52</v>
      </c>
      <c r="O36" s="16" t="s">
        <v>53</v>
      </c>
      <c r="P36" s="16" t="s">
        <v>54</v>
      </c>
      <c r="Q36" s="16" t="s">
        <v>55</v>
      </c>
      <c r="R36" s="16" t="s">
        <v>56</v>
      </c>
      <c r="V36" s="16" t="s">
        <v>13</v>
      </c>
      <c r="W36" s="16" t="s">
        <v>56</v>
      </c>
      <c r="X36" s="16">
        <v>8</v>
      </c>
      <c r="Y36" s="16"/>
      <c r="Z36" s="16"/>
      <c r="AP36" s="16"/>
      <c r="AQ36" s="16"/>
    </row>
    <row r="37" spans="2:46" x14ac:dyDescent="0.25">
      <c r="B37" s="16" t="s">
        <v>13</v>
      </c>
      <c r="C37" s="16" t="s">
        <v>51</v>
      </c>
      <c r="D37" s="16">
        <v>8</v>
      </c>
      <c r="G37" s="16" t="s">
        <v>13</v>
      </c>
      <c r="H37" s="16" t="s">
        <v>51</v>
      </c>
      <c r="I37" s="16">
        <v>8</v>
      </c>
      <c r="J37" s="1">
        <v>0.89285714285714202</v>
      </c>
      <c r="K37" s="16" t="s">
        <v>48</v>
      </c>
      <c r="L37" s="16" t="s">
        <v>49</v>
      </c>
      <c r="M37" s="16" t="s">
        <v>50</v>
      </c>
      <c r="N37" s="16" t="s">
        <v>52</v>
      </c>
      <c r="O37" s="16" t="s">
        <v>53</v>
      </c>
      <c r="P37" s="16" t="s">
        <v>54</v>
      </c>
      <c r="Q37" s="16" t="s">
        <v>55</v>
      </c>
      <c r="R37" s="16" t="s">
        <v>56</v>
      </c>
      <c r="X37" s="1"/>
      <c r="Y37" s="16"/>
      <c r="Z37" s="16"/>
      <c r="AP37" s="16"/>
      <c r="AQ37" s="16"/>
    </row>
    <row r="38" spans="2:46" x14ac:dyDescent="0.25">
      <c r="B38" s="16" t="s">
        <v>13</v>
      </c>
      <c r="C38" s="16" t="s">
        <v>52</v>
      </c>
      <c r="D38" s="16">
        <v>8</v>
      </c>
      <c r="G38" s="16" t="s">
        <v>13</v>
      </c>
      <c r="H38" s="16" t="s">
        <v>52</v>
      </c>
      <c r="I38" s="16">
        <v>8</v>
      </c>
      <c r="J38" s="1">
        <v>0.89285714285714202</v>
      </c>
      <c r="K38" s="16" t="s">
        <v>48</v>
      </c>
      <c r="L38" s="16" t="s">
        <v>49</v>
      </c>
      <c r="M38" s="16" t="s">
        <v>50</v>
      </c>
      <c r="N38" s="16" t="s">
        <v>51</v>
      </c>
      <c r="O38" s="16" t="s">
        <v>53</v>
      </c>
      <c r="P38" s="16" t="s">
        <v>54</v>
      </c>
      <c r="Q38" s="16" t="s">
        <v>55</v>
      </c>
      <c r="R38" s="16" t="s">
        <v>56</v>
      </c>
      <c r="X38" s="1"/>
      <c r="Y38" s="16"/>
      <c r="Z38" s="16"/>
      <c r="AP38" s="16"/>
      <c r="AQ38" s="16"/>
    </row>
    <row r="39" spans="2:46" x14ac:dyDescent="0.25">
      <c r="B39" s="16" t="s">
        <v>13</v>
      </c>
      <c r="C39" s="16" t="s">
        <v>53</v>
      </c>
      <c r="D39" s="16">
        <v>8</v>
      </c>
      <c r="G39" s="16" t="s">
        <v>13</v>
      </c>
      <c r="H39" s="16" t="s">
        <v>53</v>
      </c>
      <c r="I39" s="16">
        <v>8</v>
      </c>
      <c r="J39" s="1">
        <v>0.875</v>
      </c>
      <c r="K39" s="16" t="s">
        <v>48</v>
      </c>
      <c r="L39" s="16" t="s">
        <v>49</v>
      </c>
      <c r="M39" s="16" t="s">
        <v>50</v>
      </c>
      <c r="N39" s="16" t="s">
        <v>51</v>
      </c>
      <c r="O39" s="16" t="s">
        <v>52</v>
      </c>
      <c r="P39" s="16" t="s">
        <v>54</v>
      </c>
      <c r="Q39" s="16" t="s">
        <v>55</v>
      </c>
      <c r="R39" s="16" t="s">
        <v>56</v>
      </c>
      <c r="X39" s="1"/>
      <c r="Y39" s="16"/>
      <c r="Z39" s="16"/>
      <c r="AP39" s="16"/>
      <c r="AQ39" s="16"/>
    </row>
    <row r="40" spans="2:46" x14ac:dyDescent="0.25">
      <c r="B40" s="16" t="s">
        <v>13</v>
      </c>
      <c r="C40" s="16" t="s">
        <v>54</v>
      </c>
      <c r="D40" s="16">
        <v>8</v>
      </c>
      <c r="G40" s="16" t="s">
        <v>13</v>
      </c>
      <c r="H40" s="16" t="s">
        <v>54</v>
      </c>
      <c r="I40" s="16">
        <v>8</v>
      </c>
      <c r="J40" s="1">
        <v>0.875</v>
      </c>
      <c r="K40" s="16" t="s">
        <v>48</v>
      </c>
      <c r="L40" s="16" t="s">
        <v>49</v>
      </c>
      <c r="M40" s="16" t="s">
        <v>50</v>
      </c>
      <c r="N40" s="16" t="s">
        <v>51</v>
      </c>
      <c r="O40" s="16" t="s">
        <v>52</v>
      </c>
      <c r="P40" s="16" t="s">
        <v>53</v>
      </c>
      <c r="Q40" s="16" t="s">
        <v>55</v>
      </c>
      <c r="R40" s="16" t="s">
        <v>56</v>
      </c>
      <c r="X40" s="1"/>
      <c r="Y40" s="16"/>
      <c r="Z40" s="16"/>
      <c r="AP40" s="16"/>
      <c r="AQ40" s="16"/>
    </row>
    <row r="41" spans="2:46" x14ac:dyDescent="0.25">
      <c r="B41" s="16" t="s">
        <v>13</v>
      </c>
      <c r="C41" s="16" t="s">
        <v>55</v>
      </c>
      <c r="D41" s="16">
        <v>8</v>
      </c>
      <c r="G41" s="16" t="s">
        <v>13</v>
      </c>
      <c r="H41" s="16" t="s">
        <v>55</v>
      </c>
      <c r="I41" s="16">
        <v>8</v>
      </c>
      <c r="J41" s="1">
        <v>0.85714285714285698</v>
      </c>
      <c r="K41" s="16" t="s">
        <v>48</v>
      </c>
      <c r="L41" s="16" t="s">
        <v>49</v>
      </c>
      <c r="M41" s="16" t="s">
        <v>50</v>
      </c>
      <c r="N41" s="16" t="s">
        <v>51</v>
      </c>
      <c r="O41" s="16" t="s">
        <v>52</v>
      </c>
      <c r="P41" s="16" t="s">
        <v>53</v>
      </c>
      <c r="Q41" s="16" t="s">
        <v>54</v>
      </c>
      <c r="R41" s="16" t="s">
        <v>56</v>
      </c>
      <c r="X41" s="1"/>
      <c r="Y41" s="16"/>
      <c r="Z41" s="16"/>
      <c r="AP41" s="16"/>
      <c r="AQ41" s="16"/>
    </row>
    <row r="42" spans="2:46" x14ac:dyDescent="0.25">
      <c r="B42" s="16" t="s">
        <v>13</v>
      </c>
      <c r="C42" s="16" t="s">
        <v>56</v>
      </c>
      <c r="D42" s="16">
        <v>8</v>
      </c>
      <c r="G42" s="16" t="s">
        <v>13</v>
      </c>
      <c r="H42" s="16" t="s">
        <v>56</v>
      </c>
      <c r="I42" s="16">
        <v>8</v>
      </c>
      <c r="J42" s="1">
        <v>0.85714285714285698</v>
      </c>
      <c r="K42" s="16" t="s">
        <v>48</v>
      </c>
      <c r="L42" s="16" t="s">
        <v>49</v>
      </c>
      <c r="M42" s="16" t="s">
        <v>50</v>
      </c>
      <c r="N42" s="16" t="s">
        <v>51</v>
      </c>
      <c r="O42" s="16" t="s">
        <v>52</v>
      </c>
      <c r="P42" s="16" t="s">
        <v>53</v>
      </c>
      <c r="Q42" s="16" t="s">
        <v>54</v>
      </c>
      <c r="R42" s="16" t="s">
        <v>55</v>
      </c>
      <c r="X42" s="1"/>
      <c r="Y42" s="16"/>
      <c r="Z42" s="16"/>
      <c r="AP42" s="16"/>
      <c r="AQ42" s="16"/>
    </row>
    <row r="43" spans="2:46" x14ac:dyDescent="0.25">
      <c r="X43" s="1"/>
      <c r="Y43" s="16"/>
      <c r="Z43" s="16"/>
      <c r="AP43" s="16"/>
      <c r="AQ43" s="16"/>
    </row>
    <row r="44" spans="2:46" x14ac:dyDescent="0.25">
      <c r="X44" s="1"/>
      <c r="Y44" s="16"/>
      <c r="Z44" s="16"/>
      <c r="AP44" s="16"/>
      <c r="AQ44" s="16"/>
    </row>
    <row r="45" spans="2:46" x14ac:dyDescent="0.25">
      <c r="X45" s="1"/>
      <c r="Y45" s="16"/>
      <c r="Z45" s="16"/>
      <c r="AP45" s="16"/>
      <c r="AQ45" s="16"/>
    </row>
    <row r="46" spans="2:46" x14ac:dyDescent="0.25">
      <c r="X46" s="1"/>
      <c r="Y46" s="16"/>
      <c r="Z46" s="16"/>
      <c r="AP46" s="16"/>
      <c r="AQ46" s="16"/>
    </row>
    <row r="47" spans="2:46" x14ac:dyDescent="0.25">
      <c r="X47" s="1"/>
      <c r="Y47" s="16"/>
      <c r="Z47" s="16"/>
      <c r="AP47" s="16"/>
      <c r="AQ47" s="16"/>
    </row>
    <row r="48" spans="2:46" x14ac:dyDescent="0.25">
      <c r="X48" s="1"/>
      <c r="Y48" s="16"/>
      <c r="Z48" s="16"/>
      <c r="AP48" s="16"/>
      <c r="AQ48" s="16"/>
    </row>
    <row r="49" spans="24:43" x14ac:dyDescent="0.25">
      <c r="X49" s="1"/>
      <c r="Y49" s="16"/>
      <c r="Z49" s="16"/>
      <c r="AP49" s="16"/>
      <c r="AQ49" s="16"/>
    </row>
    <row r="50" spans="24:43" x14ac:dyDescent="0.25">
      <c r="X50" s="1"/>
      <c r="Y50" s="16"/>
      <c r="Z50" s="16"/>
      <c r="AP50" s="16"/>
      <c r="AQ50" s="16"/>
    </row>
    <row r="51" spans="24:43" x14ac:dyDescent="0.25">
      <c r="X51" s="1"/>
      <c r="Y51" s="16"/>
      <c r="Z51" s="16"/>
    </row>
    <row r="52" spans="24:43" x14ac:dyDescent="0.25">
      <c r="X52" s="1"/>
      <c r="Y52" s="16"/>
      <c r="Z52" s="16"/>
    </row>
    <row r="53" spans="24:43" x14ac:dyDescent="0.25">
      <c r="X53" s="1"/>
      <c r="Y53" s="16"/>
      <c r="Z53" s="16"/>
    </row>
    <row r="54" spans="24:43" x14ac:dyDescent="0.25">
      <c r="X54" s="1"/>
      <c r="Y54" s="16"/>
      <c r="Z54" s="16"/>
    </row>
    <row r="55" spans="24:43" x14ac:dyDescent="0.25">
      <c r="X55" s="1"/>
      <c r="Y55" s="16"/>
      <c r="Z55" s="16"/>
    </row>
    <row r="56" spans="24:43" x14ac:dyDescent="0.25">
      <c r="X56" s="1"/>
      <c r="Y56" s="16"/>
      <c r="Z56" s="16"/>
    </row>
    <row r="57" spans="24:43" x14ac:dyDescent="0.25">
      <c r="X57" s="1"/>
      <c r="Y57" s="16"/>
      <c r="Z57" s="16"/>
    </row>
    <row r="58" spans="24:43" x14ac:dyDescent="0.25">
      <c r="X58" s="1"/>
      <c r="Y58" s="16"/>
      <c r="Z58" s="16"/>
    </row>
    <row r="59" spans="24:43" x14ac:dyDescent="0.25">
      <c r="X59" s="1"/>
      <c r="Y59" s="16"/>
      <c r="Z59" s="16"/>
    </row>
    <row r="60" spans="24:43" x14ac:dyDescent="0.25">
      <c r="X60" s="1"/>
      <c r="Y60" s="16"/>
      <c r="Z60" s="16"/>
    </row>
    <row r="61" spans="24:43" x14ac:dyDescent="0.25">
      <c r="X61" s="1"/>
      <c r="Y61" s="16"/>
      <c r="Z61" s="16"/>
    </row>
    <row r="62" spans="24:43" x14ac:dyDescent="0.25">
      <c r="X62" s="1"/>
      <c r="Y62" s="16"/>
      <c r="Z62" s="16"/>
    </row>
  </sheetData>
  <mergeCells count="5">
    <mergeCell ref="B7:D7"/>
    <mergeCell ref="G7:I7"/>
    <mergeCell ref="AA7:AC7"/>
    <mergeCell ref="AP7:AR7"/>
    <mergeCell ref="V7:X7"/>
  </mergeCells>
  <pageMargins left="0.7" right="0.7" top="0.78740157499999996" bottom="0.78740157499999996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8"/>
  <sheetViews>
    <sheetView topLeftCell="A82" workbookViewId="0">
      <selection activeCell="J36" sqref="J36"/>
    </sheetView>
  </sheetViews>
  <sheetFormatPr baseColWidth="10" defaultRowHeight="15" x14ac:dyDescent="0.25"/>
  <sheetData>
    <row r="1" spans="1:4" x14ac:dyDescent="0.25">
      <c r="A1" s="16" t="s">
        <v>28</v>
      </c>
      <c r="B1" s="16" t="s">
        <v>31</v>
      </c>
      <c r="C1" s="16" t="s">
        <v>29</v>
      </c>
      <c r="D1" s="16" t="s">
        <v>30</v>
      </c>
    </row>
    <row r="2" spans="1:4" x14ac:dyDescent="0.25">
      <c r="A2" s="16" t="s">
        <v>57</v>
      </c>
      <c r="B2" s="16"/>
      <c r="C2" s="16"/>
      <c r="D2" s="16"/>
    </row>
    <row r="3" spans="1:4" x14ac:dyDescent="0.25">
      <c r="A3" s="16" t="s">
        <v>58</v>
      </c>
      <c r="B3" s="16"/>
      <c r="C3" s="16"/>
      <c r="D3" s="16"/>
    </row>
    <row r="4" spans="1:4" x14ac:dyDescent="0.25">
      <c r="A4" s="16" t="s">
        <v>59</v>
      </c>
      <c r="B4" s="16"/>
      <c r="C4" s="16"/>
      <c r="D4" s="16"/>
    </row>
    <row r="5" spans="1:4" x14ac:dyDescent="0.25">
      <c r="A5" s="16" t="s">
        <v>60</v>
      </c>
      <c r="B5" s="16" t="s">
        <v>364</v>
      </c>
      <c r="C5" s="16" t="s">
        <v>364</v>
      </c>
      <c r="D5" s="16" t="s">
        <v>2079</v>
      </c>
    </row>
    <row r="6" spans="1:4" x14ac:dyDescent="0.25">
      <c r="A6" s="16" t="s">
        <v>62</v>
      </c>
      <c r="B6" s="16"/>
      <c r="C6" s="16"/>
      <c r="D6" s="16"/>
    </row>
    <row r="7" spans="1:4" x14ac:dyDescent="0.25">
      <c r="A7" s="16" t="s">
        <v>64</v>
      </c>
      <c r="B7" s="16"/>
      <c r="C7" s="16"/>
      <c r="D7" s="16"/>
    </row>
    <row r="8" spans="1:4" x14ac:dyDescent="0.25">
      <c r="A8" s="16" t="s">
        <v>65</v>
      </c>
      <c r="B8" s="16"/>
      <c r="C8" s="16"/>
      <c r="D8" s="16"/>
    </row>
    <row r="9" spans="1:4" x14ac:dyDescent="0.25">
      <c r="A9" s="16" t="s">
        <v>66</v>
      </c>
      <c r="B9" s="16"/>
      <c r="C9" s="16"/>
      <c r="D9" s="16"/>
    </row>
    <row r="10" spans="1:4" x14ac:dyDescent="0.25">
      <c r="A10" s="16" t="s">
        <v>67</v>
      </c>
      <c r="B10" s="16"/>
      <c r="C10" s="16"/>
      <c r="D10" s="16"/>
    </row>
    <row r="11" spans="1:4" x14ac:dyDescent="0.25">
      <c r="A11" s="16" t="s">
        <v>68</v>
      </c>
      <c r="B11" s="16"/>
      <c r="C11" s="16"/>
      <c r="D11" s="16"/>
    </row>
    <row r="12" spans="1:4" x14ac:dyDescent="0.25">
      <c r="A12" s="16" t="s">
        <v>69</v>
      </c>
      <c r="B12" s="16"/>
      <c r="C12" s="16"/>
      <c r="D12" s="16"/>
    </row>
    <row r="13" spans="1:4" x14ac:dyDescent="0.25">
      <c r="A13" s="16" t="s">
        <v>70</v>
      </c>
      <c r="B13" s="16"/>
      <c r="C13" s="16"/>
      <c r="D13" s="16"/>
    </row>
    <row r="14" spans="1:4" x14ac:dyDescent="0.25">
      <c r="A14" s="16" t="s">
        <v>72</v>
      </c>
      <c r="B14" s="16" t="s">
        <v>346</v>
      </c>
      <c r="C14" s="16" t="s">
        <v>346</v>
      </c>
      <c r="D14" s="16" t="s">
        <v>2080</v>
      </c>
    </row>
    <row r="15" spans="1:4" x14ac:dyDescent="0.25">
      <c r="A15" s="16" t="s">
        <v>73</v>
      </c>
      <c r="B15" s="16"/>
      <c r="C15" s="16"/>
      <c r="D15" s="16"/>
    </row>
    <row r="16" spans="1:4" x14ac:dyDescent="0.25">
      <c r="A16" s="16" t="s">
        <v>75</v>
      </c>
      <c r="B16" s="16"/>
      <c r="C16" s="16"/>
      <c r="D16" s="16"/>
    </row>
    <row r="17" spans="1:4" x14ac:dyDescent="0.25">
      <c r="A17" s="16" t="s">
        <v>76</v>
      </c>
      <c r="B17" s="16"/>
      <c r="C17" s="16"/>
      <c r="D17" s="16"/>
    </row>
    <row r="18" spans="1:4" x14ac:dyDescent="0.25">
      <c r="A18" s="16" t="s">
        <v>77</v>
      </c>
      <c r="B18" s="16"/>
      <c r="C18" s="16"/>
      <c r="D18" s="16"/>
    </row>
    <row r="19" spans="1:4" x14ac:dyDescent="0.25">
      <c r="A19" s="16" t="s">
        <v>78</v>
      </c>
      <c r="B19" s="16"/>
      <c r="C19" s="16"/>
      <c r="D19" s="16"/>
    </row>
    <row r="20" spans="1:4" x14ac:dyDescent="0.25">
      <c r="A20" s="16" t="s">
        <v>79</v>
      </c>
      <c r="B20" s="16"/>
      <c r="C20" s="16"/>
      <c r="D20" s="16"/>
    </row>
    <row r="21" spans="1:4" x14ac:dyDescent="0.25">
      <c r="A21" s="16" t="s">
        <v>80</v>
      </c>
      <c r="B21" s="16" t="s">
        <v>485</v>
      </c>
      <c r="C21" s="16" t="s">
        <v>485</v>
      </c>
      <c r="D21" s="16" t="s">
        <v>2081</v>
      </c>
    </row>
    <row r="22" spans="1:4" x14ac:dyDescent="0.25">
      <c r="A22" s="16" t="s">
        <v>82</v>
      </c>
      <c r="B22" s="16"/>
      <c r="C22" s="16"/>
      <c r="D22" s="16"/>
    </row>
    <row r="23" spans="1:4" x14ac:dyDescent="0.25">
      <c r="A23" s="16" t="s">
        <v>83</v>
      </c>
      <c r="B23" s="16"/>
      <c r="C23" s="16"/>
      <c r="D23" s="16"/>
    </row>
    <row r="24" spans="1:4" x14ac:dyDescent="0.25">
      <c r="A24" s="16" t="s">
        <v>85</v>
      </c>
      <c r="B24" s="16"/>
      <c r="C24" s="16"/>
      <c r="D24" s="16"/>
    </row>
    <row r="25" spans="1:4" x14ac:dyDescent="0.25">
      <c r="A25" s="16" t="s">
        <v>86</v>
      </c>
      <c r="B25" s="16"/>
      <c r="C25" s="16"/>
      <c r="D25" s="16"/>
    </row>
    <row r="26" spans="1:4" x14ac:dyDescent="0.25">
      <c r="A26" s="16" t="s">
        <v>87</v>
      </c>
      <c r="B26" s="16"/>
      <c r="C26" s="16"/>
      <c r="D26" s="16"/>
    </row>
    <row r="27" spans="1:4" x14ac:dyDescent="0.25">
      <c r="A27" s="16" t="s">
        <v>88</v>
      </c>
      <c r="B27" s="16"/>
      <c r="C27" s="16"/>
      <c r="D27" s="16"/>
    </row>
    <row r="28" spans="1:4" x14ac:dyDescent="0.25">
      <c r="A28" s="16" t="s">
        <v>89</v>
      </c>
      <c r="B28" s="16"/>
      <c r="C28" s="16"/>
      <c r="D28" s="16"/>
    </row>
    <row r="29" spans="1:4" x14ac:dyDescent="0.25">
      <c r="A29" s="16" t="s">
        <v>90</v>
      </c>
      <c r="B29" s="16"/>
      <c r="C29" s="16"/>
      <c r="D29" s="16"/>
    </row>
    <row r="30" spans="1:4" x14ac:dyDescent="0.25">
      <c r="A30" s="16" t="s">
        <v>91</v>
      </c>
      <c r="B30" s="16"/>
      <c r="C30" s="16"/>
      <c r="D30" s="16"/>
    </row>
    <row r="31" spans="1:4" x14ac:dyDescent="0.25">
      <c r="A31" s="16" t="s">
        <v>92</v>
      </c>
      <c r="B31" s="16"/>
      <c r="C31" s="16"/>
      <c r="D31" s="16"/>
    </row>
    <row r="32" spans="1:4" x14ac:dyDescent="0.25">
      <c r="A32" s="16" t="s">
        <v>93</v>
      </c>
      <c r="B32" s="16"/>
      <c r="C32" s="16"/>
      <c r="D32" s="16"/>
    </row>
    <row r="33" spans="1:4" x14ac:dyDescent="0.25">
      <c r="A33" s="16" t="s">
        <v>94</v>
      </c>
      <c r="B33" s="16"/>
      <c r="C33" s="16"/>
      <c r="D33" s="16"/>
    </row>
    <row r="34" spans="1:4" x14ac:dyDescent="0.25">
      <c r="A34" s="16" t="s">
        <v>95</v>
      </c>
      <c r="B34" s="16"/>
      <c r="C34" s="16"/>
      <c r="D34" s="16"/>
    </row>
    <row r="35" spans="1:4" x14ac:dyDescent="0.25">
      <c r="A35" s="16" t="s">
        <v>96</v>
      </c>
      <c r="B35" s="16"/>
      <c r="C35" s="16"/>
      <c r="D35" s="16"/>
    </row>
    <row r="36" spans="1:4" x14ac:dyDescent="0.25">
      <c r="A36" s="16" t="s">
        <v>97</v>
      </c>
      <c r="B36" s="16"/>
      <c r="C36" s="16"/>
      <c r="D36" s="16"/>
    </row>
    <row r="37" spans="1:4" x14ac:dyDescent="0.25">
      <c r="A37" s="16" t="s">
        <v>98</v>
      </c>
      <c r="B37" s="16"/>
      <c r="C37" s="16"/>
      <c r="D37" s="16"/>
    </row>
    <row r="38" spans="1:4" x14ac:dyDescent="0.25">
      <c r="A38" s="16" t="s">
        <v>99</v>
      </c>
      <c r="B38" s="16" t="s">
        <v>716</v>
      </c>
      <c r="C38" s="16" t="s">
        <v>716</v>
      </c>
      <c r="D38" s="16" t="s">
        <v>2082</v>
      </c>
    </row>
    <row r="39" spans="1:4" x14ac:dyDescent="0.25">
      <c r="A39" s="16" t="s">
        <v>101</v>
      </c>
      <c r="B39" s="16"/>
      <c r="C39" s="16"/>
      <c r="D39" s="16"/>
    </row>
    <row r="40" spans="1:4" x14ac:dyDescent="0.25">
      <c r="A40" s="16" t="s">
        <v>102</v>
      </c>
      <c r="B40" s="16"/>
      <c r="C40" s="16"/>
      <c r="D40" s="16"/>
    </row>
    <row r="41" spans="1:4" x14ac:dyDescent="0.25">
      <c r="A41" s="16" t="s">
        <v>103</v>
      </c>
      <c r="B41" s="16"/>
      <c r="C41" s="16"/>
      <c r="D41" s="16"/>
    </row>
    <row r="42" spans="1:4" x14ac:dyDescent="0.25">
      <c r="A42" s="16" t="s">
        <v>104</v>
      </c>
      <c r="B42" s="16" t="s">
        <v>273</v>
      </c>
      <c r="C42" s="16" t="s">
        <v>273</v>
      </c>
      <c r="D42" s="16" t="s">
        <v>2083</v>
      </c>
    </row>
    <row r="43" spans="1:4" x14ac:dyDescent="0.25">
      <c r="A43" s="16" t="s">
        <v>106</v>
      </c>
      <c r="B43" s="16"/>
      <c r="C43" s="16"/>
      <c r="D43" s="16"/>
    </row>
    <row r="44" spans="1:4" x14ac:dyDescent="0.25">
      <c r="A44" s="16" t="s">
        <v>107</v>
      </c>
      <c r="B44" s="16"/>
      <c r="C44" s="16"/>
      <c r="D44" s="16"/>
    </row>
    <row r="45" spans="1:4" x14ac:dyDescent="0.25">
      <c r="A45" s="16" t="s">
        <v>108</v>
      </c>
      <c r="B45" s="16"/>
      <c r="C45" s="16"/>
      <c r="D45" s="16"/>
    </row>
    <row r="46" spans="1:4" x14ac:dyDescent="0.25">
      <c r="A46" s="16" t="s">
        <v>109</v>
      </c>
      <c r="B46" s="16"/>
      <c r="C46" s="16"/>
      <c r="D46" s="16"/>
    </row>
    <row r="47" spans="1:4" x14ac:dyDescent="0.25">
      <c r="A47" s="16" t="s">
        <v>110</v>
      </c>
      <c r="B47" s="16"/>
      <c r="C47" s="16"/>
      <c r="D47" s="16"/>
    </row>
    <row r="48" spans="1:4" x14ac:dyDescent="0.25">
      <c r="A48" s="16" t="s">
        <v>112</v>
      </c>
      <c r="B48" s="16"/>
      <c r="C48" s="16"/>
      <c r="D48" s="16"/>
    </row>
    <row r="49" spans="1:4" x14ac:dyDescent="0.25">
      <c r="A49" s="16" t="s">
        <v>113</v>
      </c>
      <c r="B49" s="16"/>
      <c r="C49" s="16"/>
      <c r="D49" s="16"/>
    </row>
    <row r="50" spans="1:4" x14ac:dyDescent="0.25">
      <c r="A50" s="16" t="s">
        <v>114</v>
      </c>
      <c r="B50" s="16"/>
      <c r="C50" s="16"/>
      <c r="D50" s="16"/>
    </row>
    <row r="51" spans="1:4" x14ac:dyDescent="0.25">
      <c r="A51" s="16" t="s">
        <v>115</v>
      </c>
      <c r="B51" s="16"/>
      <c r="C51" s="16"/>
      <c r="D51" s="16"/>
    </row>
    <row r="52" spans="1:4" x14ac:dyDescent="0.25">
      <c r="A52" s="16" t="s">
        <v>116</v>
      </c>
      <c r="B52" s="16"/>
      <c r="C52" s="16"/>
      <c r="D52" s="16"/>
    </row>
    <row r="53" spans="1:4" x14ac:dyDescent="0.25">
      <c r="A53" s="16" t="s">
        <v>117</v>
      </c>
      <c r="B53" s="16"/>
      <c r="C53" s="16"/>
      <c r="D53" s="16"/>
    </row>
    <row r="54" spans="1:4" x14ac:dyDescent="0.25">
      <c r="A54" s="16" t="s">
        <v>118</v>
      </c>
      <c r="B54" s="16"/>
      <c r="C54" s="16"/>
      <c r="D54" s="16"/>
    </row>
    <row r="55" spans="1:4" x14ac:dyDescent="0.25">
      <c r="A55" s="16" t="s">
        <v>119</v>
      </c>
      <c r="B55" s="16"/>
      <c r="C55" s="16"/>
      <c r="D55" s="16"/>
    </row>
    <row r="56" spans="1:4" x14ac:dyDescent="0.25">
      <c r="A56" s="16" t="s">
        <v>120</v>
      </c>
      <c r="B56" s="16" t="s">
        <v>14</v>
      </c>
      <c r="C56" s="16" t="s">
        <v>14</v>
      </c>
      <c r="D56" s="16" t="s">
        <v>2084</v>
      </c>
    </row>
    <row r="57" spans="1:4" x14ac:dyDescent="0.25">
      <c r="A57" s="16" t="s">
        <v>121</v>
      </c>
      <c r="B57" s="16"/>
      <c r="C57" s="16"/>
      <c r="D57" s="16"/>
    </row>
    <row r="58" spans="1:4" x14ac:dyDescent="0.25">
      <c r="A58" s="16" t="s">
        <v>122</v>
      </c>
      <c r="B58" s="16"/>
      <c r="C58" s="16"/>
      <c r="D58" s="16"/>
    </row>
    <row r="59" spans="1:4" x14ac:dyDescent="0.25">
      <c r="A59" s="16" t="s">
        <v>123</v>
      </c>
      <c r="B59" s="16"/>
      <c r="C59" s="16"/>
      <c r="D59" s="16"/>
    </row>
    <row r="60" spans="1:4" x14ac:dyDescent="0.25">
      <c r="A60" s="16" t="s">
        <v>124</v>
      </c>
      <c r="B60" s="16"/>
      <c r="C60" s="16"/>
      <c r="D60" s="16"/>
    </row>
    <row r="61" spans="1:4" x14ac:dyDescent="0.25">
      <c r="A61" s="16" t="s">
        <v>125</v>
      </c>
      <c r="B61" s="16"/>
      <c r="C61" s="16"/>
      <c r="D61" s="16"/>
    </row>
    <row r="62" spans="1:4" x14ac:dyDescent="0.25">
      <c r="A62" s="16" t="s">
        <v>126</v>
      </c>
      <c r="B62" s="16"/>
      <c r="C62" s="16"/>
      <c r="D62" s="16"/>
    </row>
    <row r="63" spans="1:4" x14ac:dyDescent="0.25">
      <c r="A63" s="16" t="s">
        <v>127</v>
      </c>
      <c r="B63" s="16"/>
      <c r="C63" s="16"/>
      <c r="D63" s="16"/>
    </row>
    <row r="64" spans="1:4" x14ac:dyDescent="0.25">
      <c r="A64" s="16" t="s">
        <v>128</v>
      </c>
      <c r="B64" s="16"/>
      <c r="C64" s="16"/>
      <c r="D64" s="16"/>
    </row>
    <row r="65" spans="1:4" x14ac:dyDescent="0.25">
      <c r="A65" s="16" t="s">
        <v>129</v>
      </c>
      <c r="B65" s="16" t="s">
        <v>853</v>
      </c>
      <c r="C65" s="16" t="s">
        <v>853</v>
      </c>
      <c r="D65" s="16" t="s">
        <v>2085</v>
      </c>
    </row>
    <row r="66" spans="1:4" x14ac:dyDescent="0.25">
      <c r="A66" s="16" t="s">
        <v>131</v>
      </c>
      <c r="B66" s="16"/>
      <c r="C66" s="16"/>
      <c r="D66" s="16"/>
    </row>
    <row r="67" spans="1:4" x14ac:dyDescent="0.25">
      <c r="A67" s="16" t="s">
        <v>132</v>
      </c>
      <c r="B67" s="16"/>
      <c r="C67" s="16"/>
      <c r="D67" s="16"/>
    </row>
    <row r="68" spans="1:4" x14ac:dyDescent="0.25">
      <c r="A68" s="16" t="s">
        <v>133</v>
      </c>
      <c r="B68" s="16" t="s">
        <v>303</v>
      </c>
      <c r="C68" s="16" t="s">
        <v>303</v>
      </c>
      <c r="D68" s="16" t="s">
        <v>2086</v>
      </c>
    </row>
    <row r="69" spans="1:4" x14ac:dyDescent="0.25">
      <c r="A69" s="16" t="s">
        <v>135</v>
      </c>
      <c r="B69" s="16"/>
      <c r="C69" s="16"/>
      <c r="D69" s="16"/>
    </row>
    <row r="70" spans="1:4" x14ac:dyDescent="0.25">
      <c r="A70" s="16" t="s">
        <v>136</v>
      </c>
      <c r="B70" s="16"/>
      <c r="C70" s="16"/>
      <c r="D70" s="16"/>
    </row>
    <row r="71" spans="1:4" x14ac:dyDescent="0.25">
      <c r="A71" s="16" t="s">
        <v>138</v>
      </c>
      <c r="B71" s="16"/>
      <c r="C71" s="16"/>
      <c r="D71" s="16"/>
    </row>
    <row r="72" spans="1:4" x14ac:dyDescent="0.25">
      <c r="A72" s="16" t="s">
        <v>140</v>
      </c>
      <c r="B72" s="16" t="s">
        <v>236</v>
      </c>
      <c r="C72" s="16" t="s">
        <v>236</v>
      </c>
      <c r="D72" s="16" t="s">
        <v>2087</v>
      </c>
    </row>
    <row r="73" spans="1:4" x14ac:dyDescent="0.25">
      <c r="A73" s="16" t="s">
        <v>141</v>
      </c>
      <c r="B73" s="16" t="s">
        <v>223</v>
      </c>
      <c r="C73" s="16" t="s">
        <v>329</v>
      </c>
      <c r="D73" s="16" t="s">
        <v>2088</v>
      </c>
    </row>
    <row r="74" spans="1:4" x14ac:dyDescent="0.25">
      <c r="A74" s="16" t="s">
        <v>142</v>
      </c>
      <c r="B74" s="16"/>
      <c r="C74" s="16"/>
      <c r="D74" s="16"/>
    </row>
    <row r="75" spans="1:4" x14ac:dyDescent="0.25">
      <c r="A75" s="16" t="s">
        <v>143</v>
      </c>
      <c r="B75" s="16"/>
      <c r="C75" s="16"/>
      <c r="D75" s="16"/>
    </row>
    <row r="76" spans="1:4" x14ac:dyDescent="0.25">
      <c r="A76" s="16" t="s">
        <v>144</v>
      </c>
      <c r="B76" s="16"/>
      <c r="C76" s="16"/>
      <c r="D76" s="16"/>
    </row>
    <row r="77" spans="1:4" x14ac:dyDescent="0.25">
      <c r="A77" s="16" t="s">
        <v>145</v>
      </c>
      <c r="B77" s="16"/>
      <c r="C77" s="16"/>
      <c r="D77" s="16"/>
    </row>
    <row r="78" spans="1:4" x14ac:dyDescent="0.25">
      <c r="A78" s="16" t="s">
        <v>146</v>
      </c>
      <c r="B78" s="16"/>
      <c r="C78" s="16"/>
      <c r="D78" s="16"/>
    </row>
    <row r="79" spans="1:4" x14ac:dyDescent="0.25">
      <c r="A79" s="16" t="s">
        <v>147</v>
      </c>
      <c r="B79" s="16"/>
      <c r="C79" s="16"/>
      <c r="D79" s="16"/>
    </row>
    <row r="80" spans="1:4" x14ac:dyDescent="0.25">
      <c r="A80" s="16" t="s">
        <v>148</v>
      </c>
      <c r="B80" s="16"/>
      <c r="C80" s="16"/>
      <c r="D80" s="16"/>
    </row>
    <row r="81" spans="1:4" x14ac:dyDescent="0.25">
      <c r="A81" s="16" t="s">
        <v>149</v>
      </c>
      <c r="B81" s="16"/>
      <c r="C81" s="16"/>
      <c r="D81" s="16"/>
    </row>
    <row r="82" spans="1:4" x14ac:dyDescent="0.25">
      <c r="A82" s="16" t="s">
        <v>150</v>
      </c>
      <c r="B82" s="16"/>
      <c r="C82" s="16"/>
      <c r="D82" s="16"/>
    </row>
    <row r="83" spans="1:4" x14ac:dyDescent="0.25">
      <c r="A83" s="16" t="s">
        <v>151</v>
      </c>
      <c r="B83" s="16" t="s">
        <v>914</v>
      </c>
      <c r="C83" s="16" t="s">
        <v>914</v>
      </c>
      <c r="D83" s="16" t="s">
        <v>2089</v>
      </c>
    </row>
    <row r="84" spans="1:4" x14ac:dyDescent="0.25">
      <c r="A84" s="16" t="s">
        <v>152</v>
      </c>
      <c r="B84" s="16" t="s">
        <v>306</v>
      </c>
      <c r="C84" s="16" t="s">
        <v>306</v>
      </c>
      <c r="D84" s="16" t="s">
        <v>2090</v>
      </c>
    </row>
    <row r="85" spans="1:4" x14ac:dyDescent="0.25">
      <c r="A85" s="16" t="s">
        <v>153</v>
      </c>
      <c r="B85" s="16"/>
      <c r="C85" s="16"/>
      <c r="D85" s="16"/>
    </row>
    <row r="86" spans="1:4" x14ac:dyDescent="0.25">
      <c r="A86" s="16" t="s">
        <v>154</v>
      </c>
      <c r="B86" s="16"/>
      <c r="C86" s="16"/>
      <c r="D86" s="16"/>
    </row>
    <row r="87" spans="1:4" x14ac:dyDescent="0.25">
      <c r="A87" s="16" t="s">
        <v>155</v>
      </c>
      <c r="B87" s="16" t="s">
        <v>572</v>
      </c>
      <c r="C87" s="16" t="s">
        <v>572</v>
      </c>
      <c r="D87" s="16" t="s">
        <v>2091</v>
      </c>
    </row>
    <row r="88" spans="1:4" x14ac:dyDescent="0.25">
      <c r="A88" s="16" t="s">
        <v>157</v>
      </c>
      <c r="B88" s="16"/>
      <c r="C88" s="16"/>
      <c r="D88" s="16"/>
    </row>
    <row r="89" spans="1:4" x14ac:dyDescent="0.25">
      <c r="A89" s="16" t="s">
        <v>158</v>
      </c>
      <c r="B89" s="16"/>
      <c r="C89" s="16"/>
      <c r="D89" s="16"/>
    </row>
    <row r="90" spans="1:4" x14ac:dyDescent="0.25">
      <c r="A90" s="16" t="s">
        <v>159</v>
      </c>
      <c r="B90" s="16"/>
      <c r="C90" s="16"/>
      <c r="D90" s="16"/>
    </row>
    <row r="91" spans="1:4" x14ac:dyDescent="0.25">
      <c r="A91" s="16" t="s">
        <v>160</v>
      </c>
      <c r="B91" s="16"/>
      <c r="C91" s="16"/>
      <c r="D91" s="16"/>
    </row>
    <row r="92" spans="1:4" x14ac:dyDescent="0.25">
      <c r="A92" s="16" t="s">
        <v>161</v>
      </c>
      <c r="B92" s="16"/>
      <c r="C92" s="16"/>
      <c r="D92" s="16"/>
    </row>
    <row r="93" spans="1:4" x14ac:dyDescent="0.25">
      <c r="A93" s="16" t="s">
        <v>162</v>
      </c>
      <c r="B93" s="16"/>
      <c r="C93" s="16"/>
      <c r="D93" s="16"/>
    </row>
    <row r="94" spans="1:4" x14ac:dyDescent="0.25">
      <c r="A94" s="16" t="s">
        <v>163</v>
      </c>
      <c r="B94" s="16"/>
      <c r="C94" s="16"/>
      <c r="D94" s="16"/>
    </row>
    <row r="95" spans="1:4" x14ac:dyDescent="0.25">
      <c r="A95" s="16" t="s">
        <v>164</v>
      </c>
      <c r="B95" s="16" t="s">
        <v>330</v>
      </c>
      <c r="C95" s="5">
        <v>43163</v>
      </c>
      <c r="D95" s="16" t="s">
        <v>2092</v>
      </c>
    </row>
    <row r="96" spans="1:4" x14ac:dyDescent="0.25">
      <c r="A96" s="16" t="s">
        <v>165</v>
      </c>
      <c r="B96" s="16" t="s">
        <v>1028</v>
      </c>
      <c r="C96" s="5">
        <v>43346</v>
      </c>
      <c r="D96" s="16" t="s">
        <v>2093</v>
      </c>
    </row>
    <row r="97" spans="1:4" x14ac:dyDescent="0.25">
      <c r="A97" s="16" t="s">
        <v>166</v>
      </c>
      <c r="B97" s="16" t="s">
        <v>335</v>
      </c>
      <c r="C97" s="5">
        <v>43254</v>
      </c>
      <c r="D97" s="16" t="s">
        <v>2094</v>
      </c>
    </row>
    <row r="98" spans="1:4" x14ac:dyDescent="0.25">
      <c r="A98" s="16" t="s">
        <v>167</v>
      </c>
      <c r="B98" s="16"/>
      <c r="C98" s="16"/>
      <c r="D98" s="16"/>
    </row>
    <row r="99" spans="1:4" x14ac:dyDescent="0.25">
      <c r="A99" s="16" t="s">
        <v>168</v>
      </c>
      <c r="B99" s="16"/>
      <c r="C99" s="16"/>
      <c r="D99" s="16"/>
    </row>
    <row r="100" spans="1:4" x14ac:dyDescent="0.25">
      <c r="A100" s="16" t="s">
        <v>169</v>
      </c>
      <c r="B100" s="16" t="s">
        <v>1008</v>
      </c>
      <c r="C100" s="16" t="s">
        <v>1008</v>
      </c>
      <c r="D100" s="16" t="s">
        <v>2095</v>
      </c>
    </row>
    <row r="101" spans="1:4" x14ac:dyDescent="0.25">
      <c r="A101" s="16" t="s">
        <v>170</v>
      </c>
      <c r="B101" s="16"/>
      <c r="C101" s="16"/>
      <c r="D101" s="16"/>
    </row>
    <row r="102" spans="1:4" x14ac:dyDescent="0.25">
      <c r="A102" s="16" t="s">
        <v>171</v>
      </c>
      <c r="B102" s="16"/>
      <c r="C102" s="16"/>
      <c r="D102" s="16"/>
    </row>
    <row r="103" spans="1:4" x14ac:dyDescent="0.25">
      <c r="A103" s="16" t="s">
        <v>172</v>
      </c>
      <c r="B103" s="16"/>
      <c r="C103" s="16"/>
      <c r="D103" s="16"/>
    </row>
    <row r="104" spans="1:4" x14ac:dyDescent="0.25">
      <c r="A104" s="16" t="s">
        <v>173</v>
      </c>
      <c r="B104" s="16"/>
      <c r="C104" s="16"/>
      <c r="D104" s="16"/>
    </row>
    <row r="105" spans="1:4" x14ac:dyDescent="0.25">
      <c r="A105" s="16" t="s">
        <v>175</v>
      </c>
      <c r="B105" s="16"/>
      <c r="C105" s="16"/>
      <c r="D105" s="16"/>
    </row>
    <row r="106" spans="1:4" x14ac:dyDescent="0.25">
      <c r="A106" s="16" t="s">
        <v>176</v>
      </c>
      <c r="B106" s="16"/>
      <c r="C106" s="16"/>
      <c r="D106" s="16"/>
    </row>
    <row r="107" spans="1:4" x14ac:dyDescent="0.25">
      <c r="A107" s="16" t="s">
        <v>177</v>
      </c>
      <c r="B107" s="16" t="s">
        <v>241</v>
      </c>
      <c r="C107" s="16" t="s">
        <v>241</v>
      </c>
      <c r="D107" s="16" t="s">
        <v>2096</v>
      </c>
    </row>
    <row r="108" spans="1:4" x14ac:dyDescent="0.25">
      <c r="A108" s="16" t="s">
        <v>178</v>
      </c>
      <c r="B108" s="16" t="s">
        <v>345</v>
      </c>
      <c r="C108" s="16" t="s">
        <v>345</v>
      </c>
      <c r="D108" s="16" t="s">
        <v>2097</v>
      </c>
    </row>
    <row r="109" spans="1:4" x14ac:dyDescent="0.25">
      <c r="A109" s="16" t="s">
        <v>179</v>
      </c>
      <c r="B109" s="16"/>
      <c r="C109" s="16"/>
      <c r="D109" s="16"/>
    </row>
    <row r="110" spans="1:4" x14ac:dyDescent="0.25">
      <c r="A110" s="16" t="s">
        <v>180</v>
      </c>
      <c r="B110" s="16" t="s">
        <v>221</v>
      </c>
      <c r="C110" s="16" t="s">
        <v>221</v>
      </c>
      <c r="D110" s="16" t="s">
        <v>2098</v>
      </c>
    </row>
    <row r="111" spans="1:4" x14ac:dyDescent="0.25">
      <c r="A111" s="16" t="s">
        <v>181</v>
      </c>
      <c r="B111" s="16"/>
      <c r="C111" s="16"/>
      <c r="D111" s="16"/>
    </row>
    <row r="112" spans="1:4" x14ac:dyDescent="0.25">
      <c r="A112" s="16" t="s">
        <v>182</v>
      </c>
      <c r="B112" s="16"/>
      <c r="C112" s="16"/>
      <c r="D112" s="16"/>
    </row>
    <row r="113" spans="1:4" x14ac:dyDescent="0.25">
      <c r="A113" s="16" t="s">
        <v>183</v>
      </c>
      <c r="B113" s="16"/>
      <c r="C113" s="16"/>
      <c r="D113" s="16"/>
    </row>
    <row r="114" spans="1:4" x14ac:dyDescent="0.25">
      <c r="A114" s="16" t="s">
        <v>185</v>
      </c>
      <c r="B114" s="16"/>
      <c r="C114" s="16"/>
      <c r="D114" s="16"/>
    </row>
    <row r="115" spans="1:4" x14ac:dyDescent="0.25">
      <c r="A115" s="16" t="s">
        <v>186</v>
      </c>
      <c r="B115" s="16"/>
      <c r="C115" s="16"/>
      <c r="D115" s="16"/>
    </row>
    <row r="116" spans="1:4" x14ac:dyDescent="0.25">
      <c r="A116" s="16" t="s">
        <v>187</v>
      </c>
      <c r="B116" s="16"/>
      <c r="C116" s="16"/>
      <c r="D116" s="16"/>
    </row>
    <row r="117" spans="1:4" x14ac:dyDescent="0.25">
      <c r="A117" s="16" t="s">
        <v>188</v>
      </c>
      <c r="B117" s="16"/>
      <c r="C117" s="16"/>
      <c r="D117" s="16"/>
    </row>
    <row r="118" spans="1:4" x14ac:dyDescent="0.25">
      <c r="A118" s="16" t="s">
        <v>189</v>
      </c>
      <c r="B118" s="16"/>
      <c r="C118" s="16"/>
      <c r="D118" s="16"/>
    </row>
    <row r="119" spans="1:4" x14ac:dyDescent="0.25">
      <c r="A119" s="16" t="s">
        <v>190</v>
      </c>
      <c r="B119" s="16"/>
      <c r="C119" s="16"/>
      <c r="D119" s="16"/>
    </row>
    <row r="120" spans="1:4" x14ac:dyDescent="0.25">
      <c r="A120" s="16" t="s">
        <v>191</v>
      </c>
      <c r="B120" s="16"/>
      <c r="C120" s="16"/>
      <c r="D120" s="16"/>
    </row>
    <row r="121" spans="1:4" x14ac:dyDescent="0.25">
      <c r="A121" s="16" t="s">
        <v>192</v>
      </c>
      <c r="B121" s="16"/>
      <c r="C121" s="16"/>
      <c r="D121" s="16"/>
    </row>
    <row r="122" spans="1:4" x14ac:dyDescent="0.25">
      <c r="A122" s="16" t="s">
        <v>194</v>
      </c>
      <c r="B122" s="16"/>
      <c r="C122" s="16"/>
      <c r="D122" s="16"/>
    </row>
    <row r="123" spans="1:4" x14ac:dyDescent="0.25">
      <c r="A123" s="16" t="s">
        <v>195</v>
      </c>
      <c r="B123" s="16"/>
      <c r="C123" s="16"/>
      <c r="D123" s="16"/>
    </row>
    <row r="124" spans="1:4" x14ac:dyDescent="0.25">
      <c r="A124" s="16" t="s">
        <v>196</v>
      </c>
      <c r="B124" s="16"/>
      <c r="C124" s="16"/>
      <c r="D124" s="16"/>
    </row>
    <row r="125" spans="1:4" x14ac:dyDescent="0.25">
      <c r="A125" s="16" t="s">
        <v>197</v>
      </c>
      <c r="B125" s="16"/>
      <c r="C125" s="16"/>
      <c r="D125" s="16"/>
    </row>
    <row r="126" spans="1:4" x14ac:dyDescent="0.25">
      <c r="A126" s="16" t="s">
        <v>198</v>
      </c>
      <c r="B126" s="16"/>
      <c r="C126" s="16"/>
      <c r="D126" s="16"/>
    </row>
    <row r="127" spans="1:4" x14ac:dyDescent="0.25">
      <c r="A127" s="16" t="s">
        <v>199</v>
      </c>
      <c r="B127" s="16"/>
      <c r="C127" s="16"/>
      <c r="D127" s="16"/>
    </row>
    <row r="128" spans="1:4" x14ac:dyDescent="0.25">
      <c r="A128" s="16" t="s">
        <v>200</v>
      </c>
      <c r="B128" s="16"/>
      <c r="C128" s="16"/>
      <c r="D128" s="16"/>
    </row>
    <row r="129" spans="1:4" x14ac:dyDescent="0.25">
      <c r="A129" s="16" t="s">
        <v>201</v>
      </c>
      <c r="B129" s="16"/>
      <c r="C129" s="16"/>
      <c r="D129" s="16"/>
    </row>
    <row r="130" spans="1:4" x14ac:dyDescent="0.25">
      <c r="A130" s="16" t="s">
        <v>202</v>
      </c>
      <c r="B130" s="16"/>
      <c r="C130" s="16"/>
      <c r="D130" s="16"/>
    </row>
    <row r="131" spans="1:4" x14ac:dyDescent="0.25">
      <c r="A131" s="16" t="s">
        <v>203</v>
      </c>
      <c r="B131" s="16"/>
      <c r="C131" s="16"/>
      <c r="D131" s="16"/>
    </row>
    <row r="132" spans="1:4" x14ac:dyDescent="0.25">
      <c r="A132" s="16" t="s">
        <v>204</v>
      </c>
      <c r="B132" s="16"/>
      <c r="C132" s="16"/>
      <c r="D132" s="16"/>
    </row>
    <row r="133" spans="1:4" x14ac:dyDescent="0.25">
      <c r="A133" s="16" t="s">
        <v>205</v>
      </c>
      <c r="B133" s="16"/>
      <c r="C133" s="16"/>
      <c r="D133" s="16"/>
    </row>
    <row r="134" spans="1:4" x14ac:dyDescent="0.25">
      <c r="A134" s="16" t="s">
        <v>206</v>
      </c>
      <c r="B134" s="16"/>
      <c r="C134" s="16"/>
      <c r="D134" s="16"/>
    </row>
    <row r="135" spans="1:4" x14ac:dyDescent="0.25">
      <c r="A135" s="16" t="s">
        <v>207</v>
      </c>
      <c r="B135" s="16"/>
      <c r="C135" s="16"/>
      <c r="D135" s="16"/>
    </row>
    <row r="136" spans="1:4" x14ac:dyDescent="0.25">
      <c r="A136" s="16" t="s">
        <v>208</v>
      </c>
      <c r="B136" s="16"/>
      <c r="C136" s="16"/>
      <c r="D136" s="16"/>
    </row>
    <row r="137" spans="1:4" x14ac:dyDescent="0.25">
      <c r="A137" s="16" t="s">
        <v>210</v>
      </c>
      <c r="B137" s="16"/>
      <c r="C137" s="16"/>
      <c r="D137" s="16"/>
    </row>
    <row r="138" spans="1:4" x14ac:dyDescent="0.25">
      <c r="A138" s="16" t="s">
        <v>211</v>
      </c>
      <c r="B138" s="16"/>
      <c r="C138" s="16"/>
      <c r="D138" s="16"/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0"/>
  <sheetViews>
    <sheetView workbookViewId="0">
      <selection activeCell="S15" sqref="S15"/>
    </sheetView>
  </sheetViews>
  <sheetFormatPr baseColWidth="10" defaultRowHeight="15" x14ac:dyDescent="0.25"/>
  <sheetData>
    <row r="1" spans="1:5" x14ac:dyDescent="0.25">
      <c r="A1" s="16" t="s">
        <v>257</v>
      </c>
      <c r="B1" s="16" t="s">
        <v>33</v>
      </c>
      <c r="C1" s="16" t="s">
        <v>34</v>
      </c>
      <c r="D1" s="16" t="s">
        <v>35</v>
      </c>
      <c r="E1" s="16" t="s">
        <v>36</v>
      </c>
    </row>
    <row r="2" spans="1:5" x14ac:dyDescent="0.25">
      <c r="A2" s="16" t="s">
        <v>258</v>
      </c>
      <c r="B2" s="16"/>
      <c r="C2" s="16"/>
      <c r="D2" s="16"/>
      <c r="E2" s="16"/>
    </row>
    <row r="3" spans="1:5" x14ac:dyDescent="0.25">
      <c r="A3" s="16" t="s">
        <v>259</v>
      </c>
      <c r="B3" s="16"/>
      <c r="C3" s="16" t="s">
        <v>260</v>
      </c>
      <c r="D3" s="16" t="s">
        <v>261</v>
      </c>
      <c r="E3" s="16" t="s">
        <v>262</v>
      </c>
    </row>
    <row r="4" spans="1:5" x14ac:dyDescent="0.25">
      <c r="A4" s="16" t="s">
        <v>263</v>
      </c>
      <c r="B4" s="16"/>
      <c r="C4" s="16"/>
      <c r="D4" s="16" t="s">
        <v>243</v>
      </c>
      <c r="E4" s="16" t="s">
        <v>236</v>
      </c>
    </row>
    <row r="5" spans="1:5" x14ac:dyDescent="0.25">
      <c r="A5" s="16" t="s">
        <v>264</v>
      </c>
      <c r="B5" s="16"/>
      <c r="C5" s="16" t="s">
        <v>2099</v>
      </c>
      <c r="D5" s="16" t="s">
        <v>265</v>
      </c>
      <c r="E5" s="16" t="s">
        <v>266</v>
      </c>
    </row>
    <row r="6" spans="1:5" x14ac:dyDescent="0.25">
      <c r="A6" s="16" t="s">
        <v>267</v>
      </c>
      <c r="B6" s="16"/>
      <c r="C6" s="16"/>
      <c r="D6" s="16"/>
      <c r="E6" s="16"/>
    </row>
    <row r="7" spans="1:5" x14ac:dyDescent="0.25">
      <c r="A7" s="16" t="s">
        <v>268</v>
      </c>
      <c r="B7" s="16"/>
      <c r="C7" s="16"/>
      <c r="D7" s="16"/>
      <c r="E7" s="16"/>
    </row>
    <row r="8" spans="1:5" x14ac:dyDescent="0.25">
      <c r="A8" s="16" t="s">
        <v>269</v>
      </c>
      <c r="B8" s="16" t="s">
        <v>270</v>
      </c>
      <c r="C8" s="16" t="s">
        <v>271</v>
      </c>
      <c r="D8" s="16"/>
      <c r="E8" s="16" t="s">
        <v>221</v>
      </c>
    </row>
    <row r="9" spans="1:5" x14ac:dyDescent="0.25">
      <c r="A9" s="16" t="s">
        <v>272</v>
      </c>
      <c r="B9" s="16"/>
      <c r="C9" s="16"/>
      <c r="D9" s="16"/>
      <c r="E9" s="16" t="s">
        <v>273</v>
      </c>
    </row>
    <row r="10" spans="1:5" x14ac:dyDescent="0.25">
      <c r="A10" s="16" t="s">
        <v>274</v>
      </c>
      <c r="B10" s="16" t="s">
        <v>275</v>
      </c>
      <c r="C10" s="16" t="s">
        <v>276</v>
      </c>
      <c r="D10" s="16" t="s">
        <v>277</v>
      </c>
      <c r="E10" s="16" t="s">
        <v>227</v>
      </c>
    </row>
    <row r="11" spans="1:5" x14ac:dyDescent="0.25">
      <c r="A11" s="16" t="s">
        <v>278</v>
      </c>
      <c r="B11" s="16" t="s">
        <v>279</v>
      </c>
      <c r="C11" s="16" t="s">
        <v>280</v>
      </c>
      <c r="D11" s="16" t="s">
        <v>281</v>
      </c>
      <c r="E11" s="16" t="s">
        <v>282</v>
      </c>
    </row>
    <row r="12" spans="1:5" x14ac:dyDescent="0.25">
      <c r="A12" s="16" t="s">
        <v>283</v>
      </c>
      <c r="B12" s="16"/>
      <c r="C12" s="16"/>
      <c r="D12" s="16"/>
      <c r="E12" s="16"/>
    </row>
    <row r="13" spans="1:5" x14ac:dyDescent="0.25">
      <c r="A13" s="16" t="s">
        <v>284</v>
      </c>
      <c r="B13" s="16"/>
      <c r="C13" s="16"/>
      <c r="D13" s="16"/>
      <c r="E13" s="16"/>
    </row>
    <row r="14" spans="1:5" x14ac:dyDescent="0.25">
      <c r="A14" s="16" t="s">
        <v>285</v>
      </c>
      <c r="B14" s="16"/>
      <c r="C14" s="16" t="s">
        <v>1163</v>
      </c>
      <c r="D14" s="16" t="s">
        <v>1165</v>
      </c>
      <c r="E14" s="16" t="s">
        <v>14</v>
      </c>
    </row>
    <row r="15" spans="1:5" x14ac:dyDescent="0.25">
      <c r="A15" s="16" t="s">
        <v>286</v>
      </c>
      <c r="B15" s="16"/>
      <c r="C15" s="16"/>
      <c r="D15" s="16"/>
      <c r="E15" s="16"/>
    </row>
    <row r="16" spans="1:5" x14ac:dyDescent="0.25">
      <c r="A16" s="16" t="s">
        <v>287</v>
      </c>
      <c r="B16" s="16"/>
      <c r="C16" s="16"/>
      <c r="D16" s="16"/>
      <c r="E16" s="16"/>
    </row>
    <row r="17" spans="1:5" x14ac:dyDescent="0.25">
      <c r="A17" s="16" t="s">
        <v>288</v>
      </c>
      <c r="B17" s="16"/>
      <c r="C17" s="16"/>
      <c r="D17" s="16"/>
      <c r="E17" s="16"/>
    </row>
    <row r="18" spans="1:5" x14ac:dyDescent="0.25">
      <c r="A18" s="16" t="s">
        <v>289</v>
      </c>
      <c r="B18" s="16"/>
      <c r="C18" s="16" t="s">
        <v>306</v>
      </c>
      <c r="D18" s="16" t="s">
        <v>1250</v>
      </c>
      <c r="E18" s="16" t="s">
        <v>485</v>
      </c>
    </row>
    <row r="19" spans="1:5" x14ac:dyDescent="0.25">
      <c r="A19" s="16" t="s">
        <v>290</v>
      </c>
      <c r="B19" s="16"/>
      <c r="C19" s="16" t="s">
        <v>291</v>
      </c>
      <c r="D19" s="16" t="s">
        <v>292</v>
      </c>
      <c r="E19" s="16" t="s">
        <v>293</v>
      </c>
    </row>
    <row r="20" spans="1:5" x14ac:dyDescent="0.25">
      <c r="A20" s="16" t="s">
        <v>2100</v>
      </c>
      <c r="B20" s="16"/>
      <c r="C20" s="16"/>
      <c r="D20" s="16" t="s">
        <v>294</v>
      </c>
      <c r="E20" s="16" t="s">
        <v>295</v>
      </c>
    </row>
    <row r="21" spans="1:5" x14ac:dyDescent="0.25">
      <c r="A21" s="16" t="s">
        <v>296</v>
      </c>
      <c r="B21" s="16"/>
      <c r="C21" s="16" t="s">
        <v>297</v>
      </c>
      <c r="D21" s="16" t="s">
        <v>298</v>
      </c>
      <c r="E21" s="16" t="s">
        <v>299</v>
      </c>
    </row>
    <row r="22" spans="1:5" x14ac:dyDescent="0.25">
      <c r="A22" s="16" t="s">
        <v>300</v>
      </c>
      <c r="B22" s="16"/>
      <c r="C22" s="16" t="s">
        <v>301</v>
      </c>
      <c r="D22" s="16" t="s">
        <v>302</v>
      </c>
      <c r="E22" s="16" t="s">
        <v>303</v>
      </c>
    </row>
    <row r="23" spans="1:5" x14ac:dyDescent="0.25">
      <c r="A23" s="16" t="s">
        <v>304</v>
      </c>
      <c r="B23" s="16"/>
      <c r="C23" s="16"/>
      <c r="D23" s="16"/>
      <c r="E23" s="16"/>
    </row>
    <row r="24" spans="1:5" x14ac:dyDescent="0.25">
      <c r="A24" s="16" t="s">
        <v>2101</v>
      </c>
      <c r="B24" s="16"/>
      <c r="C24" s="16"/>
      <c r="D24" s="16" t="s">
        <v>305</v>
      </c>
      <c r="E24" s="16" t="s">
        <v>306</v>
      </c>
    </row>
    <row r="25" spans="1:5" x14ac:dyDescent="0.25">
      <c r="A25" s="16" t="s">
        <v>307</v>
      </c>
      <c r="B25" s="16" t="s">
        <v>308</v>
      </c>
      <c r="C25" s="16" t="s">
        <v>309</v>
      </c>
      <c r="D25" s="16" t="s">
        <v>310</v>
      </c>
      <c r="E25" s="16" t="s">
        <v>311</v>
      </c>
    </row>
    <row r="26" spans="1:5" x14ac:dyDescent="0.25">
      <c r="A26" s="16" t="s">
        <v>312</v>
      </c>
      <c r="B26" s="16"/>
      <c r="C26" s="16"/>
      <c r="D26" s="16"/>
      <c r="E26" s="16"/>
    </row>
    <row r="27" spans="1:5" x14ac:dyDescent="0.25">
      <c r="A27" s="16" t="s">
        <v>313</v>
      </c>
      <c r="B27" s="16"/>
      <c r="C27" s="16"/>
      <c r="D27" s="16"/>
      <c r="E27" s="16"/>
    </row>
    <row r="28" spans="1:5" x14ac:dyDescent="0.25">
      <c r="A28" s="16" t="s">
        <v>314</v>
      </c>
      <c r="B28" s="16"/>
      <c r="C28" s="16"/>
      <c r="D28" s="16"/>
      <c r="E28" s="16"/>
    </row>
    <row r="29" spans="1:5" x14ac:dyDescent="0.25">
      <c r="A29" s="16" t="s">
        <v>2102</v>
      </c>
      <c r="B29" s="16"/>
      <c r="C29" s="16"/>
      <c r="D29" s="16" t="s">
        <v>315</v>
      </c>
      <c r="E29" s="16" t="s">
        <v>316</v>
      </c>
    </row>
    <row r="30" spans="1:5" x14ac:dyDescent="0.25">
      <c r="A30" s="16" t="s">
        <v>317</v>
      </c>
      <c r="B30" s="16"/>
      <c r="C30" s="16"/>
      <c r="D30" s="16" t="s">
        <v>318</v>
      </c>
      <c r="E30" s="16" t="s">
        <v>319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6"/>
  <sheetViews>
    <sheetView workbookViewId="0">
      <selection activeCell="L30" sqref="L30"/>
    </sheetView>
  </sheetViews>
  <sheetFormatPr baseColWidth="10" defaultRowHeight="15" x14ac:dyDescent="0.25"/>
  <sheetData>
    <row r="1" spans="1:4" x14ac:dyDescent="0.25">
      <c r="A1" s="16" t="s">
        <v>2103</v>
      </c>
      <c r="B1" s="16" t="s">
        <v>39</v>
      </c>
      <c r="C1" s="16" t="s">
        <v>2077</v>
      </c>
      <c r="D1" s="16" t="s">
        <v>2069</v>
      </c>
    </row>
    <row r="2" spans="1:4" x14ac:dyDescent="0.25">
      <c r="A2" s="16" t="s">
        <v>2104</v>
      </c>
      <c r="B2" s="16" t="s">
        <v>2105</v>
      </c>
      <c r="C2" s="16"/>
      <c r="D2" s="16" t="s">
        <v>217</v>
      </c>
    </row>
    <row r="3" spans="1:4" x14ac:dyDescent="0.25">
      <c r="A3" s="16" t="s">
        <v>2106</v>
      </c>
      <c r="B3" s="16" t="s">
        <v>321</v>
      </c>
      <c r="C3" s="16"/>
      <c r="D3" s="16" t="s">
        <v>2107</v>
      </c>
    </row>
    <row r="4" spans="1:4" x14ac:dyDescent="0.25">
      <c r="A4" s="16" t="s">
        <v>2108</v>
      </c>
      <c r="B4" s="16" t="s">
        <v>348</v>
      </c>
      <c r="C4" s="16"/>
      <c r="D4" s="16" t="s">
        <v>216</v>
      </c>
    </row>
    <row r="5" spans="1:4" x14ac:dyDescent="0.25">
      <c r="A5" s="16" t="s">
        <v>2109</v>
      </c>
      <c r="B5" s="16" t="s">
        <v>281</v>
      </c>
      <c r="C5" s="16"/>
      <c r="D5" s="16" t="s">
        <v>549</v>
      </c>
    </row>
    <row r="6" spans="1:4" x14ac:dyDescent="0.25">
      <c r="A6" s="16" t="s">
        <v>2110</v>
      </c>
      <c r="B6" s="16" t="s">
        <v>329</v>
      </c>
      <c r="C6" s="16"/>
      <c r="D6" s="16" t="s">
        <v>490</v>
      </c>
    </row>
    <row r="7" spans="1:4" x14ac:dyDescent="0.25">
      <c r="A7" s="16" t="s">
        <v>2111</v>
      </c>
      <c r="B7" s="16" t="s">
        <v>364</v>
      </c>
      <c r="C7" s="16"/>
      <c r="D7" s="16" t="s">
        <v>277</v>
      </c>
    </row>
    <row r="8" spans="1:4" x14ac:dyDescent="0.25">
      <c r="A8" s="16" t="s">
        <v>2112</v>
      </c>
      <c r="B8" s="16" t="s">
        <v>572</v>
      </c>
      <c r="C8" s="16"/>
      <c r="D8" s="16" t="s">
        <v>498</v>
      </c>
    </row>
    <row r="9" spans="1:4" x14ac:dyDescent="0.25">
      <c r="A9" s="16" t="s">
        <v>2113</v>
      </c>
      <c r="B9" s="16" t="s">
        <v>616</v>
      </c>
      <c r="C9" s="16"/>
      <c r="D9" s="16" t="s">
        <v>347</v>
      </c>
    </row>
    <row r="10" spans="1:4" x14ac:dyDescent="0.25">
      <c r="A10" s="16" t="s">
        <v>2114</v>
      </c>
      <c r="B10" s="16" t="s">
        <v>214</v>
      </c>
      <c r="C10" s="16"/>
      <c r="D10" s="16" t="s">
        <v>319</v>
      </c>
    </row>
    <row r="11" spans="1:4" x14ac:dyDescent="0.25">
      <c r="A11" s="16" t="s">
        <v>2115</v>
      </c>
      <c r="B11" s="16" t="s">
        <v>295</v>
      </c>
      <c r="C11" s="16"/>
      <c r="D11" s="16" t="s">
        <v>341</v>
      </c>
    </row>
    <row r="12" spans="1:4" x14ac:dyDescent="0.25">
      <c r="A12" s="16" t="s">
        <v>2116</v>
      </c>
      <c r="B12" s="16" t="s">
        <v>1008</v>
      </c>
      <c r="C12" s="16"/>
      <c r="D12" s="16" t="s">
        <v>525</v>
      </c>
    </row>
    <row r="13" spans="1:4" x14ac:dyDescent="0.25">
      <c r="A13" s="16" t="s">
        <v>2117</v>
      </c>
      <c r="B13" s="16" t="s">
        <v>262</v>
      </c>
      <c r="C13" s="5">
        <v>43225</v>
      </c>
      <c r="D13" s="16"/>
    </row>
    <row r="14" spans="1:4" x14ac:dyDescent="0.25">
      <c r="A14" s="16" t="s">
        <v>2118</v>
      </c>
      <c r="B14" s="16" t="s">
        <v>299</v>
      </c>
      <c r="C14" s="16"/>
      <c r="D14" s="16" t="s">
        <v>2119</v>
      </c>
    </row>
    <row r="15" spans="1:4" x14ac:dyDescent="0.25">
      <c r="A15" s="16" t="s">
        <v>2120</v>
      </c>
      <c r="B15" s="16" t="s">
        <v>306</v>
      </c>
      <c r="C15" s="16"/>
      <c r="D15" s="16" t="s">
        <v>2121</v>
      </c>
    </row>
    <row r="16" spans="1:4" x14ac:dyDescent="0.25">
      <c r="A16" s="16" t="s">
        <v>2122</v>
      </c>
      <c r="B16" s="16" t="s">
        <v>227</v>
      </c>
      <c r="C16" s="16"/>
      <c r="D16" s="16" t="s">
        <v>2123</v>
      </c>
    </row>
    <row r="17" spans="1:4" x14ac:dyDescent="0.25">
      <c r="A17" s="16" t="s">
        <v>2124</v>
      </c>
      <c r="B17" s="16" t="s">
        <v>224</v>
      </c>
      <c r="C17" s="16"/>
      <c r="D17" s="16" t="s">
        <v>647</v>
      </c>
    </row>
    <row r="18" spans="1:4" x14ac:dyDescent="0.25">
      <c r="A18" s="16" t="s">
        <v>2125</v>
      </c>
      <c r="B18" s="16" t="s">
        <v>14</v>
      </c>
      <c r="C18" s="16"/>
      <c r="D18" s="16" t="s">
        <v>2126</v>
      </c>
    </row>
    <row r="19" spans="1:4" x14ac:dyDescent="0.25">
      <c r="A19" s="16" t="s">
        <v>2127</v>
      </c>
      <c r="B19" s="16" t="s">
        <v>344</v>
      </c>
      <c r="C19" s="16"/>
      <c r="D19" s="16" t="s">
        <v>729</v>
      </c>
    </row>
    <row r="20" spans="1:4" x14ac:dyDescent="0.25">
      <c r="A20" s="16" t="s">
        <v>2128</v>
      </c>
      <c r="B20" s="16" t="s">
        <v>14</v>
      </c>
      <c r="C20" s="5">
        <v>43247</v>
      </c>
      <c r="D20" s="16"/>
    </row>
    <row r="21" spans="1:4" x14ac:dyDescent="0.25">
      <c r="A21" s="16" t="s">
        <v>2129</v>
      </c>
      <c r="B21" s="16" t="s">
        <v>266</v>
      </c>
      <c r="C21" s="16" t="s">
        <v>266</v>
      </c>
      <c r="D21" s="16"/>
    </row>
    <row r="22" spans="1:4" x14ac:dyDescent="0.25">
      <c r="A22" s="16" t="s">
        <v>2130</v>
      </c>
      <c r="B22" s="16"/>
      <c r="C22" s="16"/>
      <c r="D22" s="16"/>
    </row>
    <row r="23" spans="1:4" x14ac:dyDescent="0.25">
      <c r="A23" s="16" t="s">
        <v>2131</v>
      </c>
      <c r="B23" s="16" t="s">
        <v>1061</v>
      </c>
      <c r="C23" s="5">
        <v>43225</v>
      </c>
      <c r="D23" s="16"/>
    </row>
    <row r="24" spans="1:4" x14ac:dyDescent="0.25">
      <c r="A24" s="16" t="s">
        <v>2132</v>
      </c>
      <c r="B24" s="16" t="s">
        <v>299</v>
      </c>
      <c r="C24" s="16" t="s">
        <v>380</v>
      </c>
      <c r="D24" s="16"/>
    </row>
    <row r="25" spans="1:4" x14ac:dyDescent="0.25">
      <c r="A25" s="16" t="s">
        <v>2133</v>
      </c>
      <c r="B25" s="16" t="s">
        <v>478</v>
      </c>
      <c r="C25" s="16"/>
      <c r="D25" s="16" t="s">
        <v>1037</v>
      </c>
    </row>
    <row r="26" spans="1:4" x14ac:dyDescent="0.25">
      <c r="A26" s="16" t="s">
        <v>2134</v>
      </c>
      <c r="B26" s="16" t="s">
        <v>706</v>
      </c>
      <c r="C26" s="16"/>
      <c r="D26" s="16" t="s">
        <v>338</v>
      </c>
    </row>
    <row r="27" spans="1:4" x14ac:dyDescent="0.25">
      <c r="A27" s="16" t="s">
        <v>2135</v>
      </c>
      <c r="B27" s="16" t="s">
        <v>223</v>
      </c>
      <c r="C27" s="16" t="s">
        <v>321</v>
      </c>
      <c r="D27" s="16"/>
    </row>
    <row r="28" spans="1:4" x14ac:dyDescent="0.25">
      <c r="A28" s="16" t="s">
        <v>2136</v>
      </c>
      <c r="B28" s="16" t="s">
        <v>320</v>
      </c>
      <c r="C28" s="16" t="s">
        <v>223</v>
      </c>
      <c r="D28" s="16"/>
    </row>
    <row r="29" spans="1:4" x14ac:dyDescent="0.25">
      <c r="A29" s="16" t="s">
        <v>2137</v>
      </c>
      <c r="B29" s="16" t="s">
        <v>306</v>
      </c>
      <c r="C29" s="16" t="s">
        <v>299</v>
      </c>
      <c r="D29" s="16"/>
    </row>
    <row r="30" spans="1:4" x14ac:dyDescent="0.25">
      <c r="A30" s="16" t="s">
        <v>2138</v>
      </c>
      <c r="B30" s="16" t="s">
        <v>357</v>
      </c>
      <c r="C30" s="16"/>
      <c r="D30" s="16" t="s">
        <v>2139</v>
      </c>
    </row>
    <row r="31" spans="1:4" x14ac:dyDescent="0.25">
      <c r="A31" s="16" t="s">
        <v>2140</v>
      </c>
      <c r="B31" s="16" t="s">
        <v>293</v>
      </c>
      <c r="C31" s="24">
        <v>45717</v>
      </c>
      <c r="D31" s="16" t="s">
        <v>349</v>
      </c>
    </row>
    <row r="32" spans="1:4" x14ac:dyDescent="0.25">
      <c r="A32" s="16" t="s">
        <v>2141</v>
      </c>
      <c r="B32" s="16" t="s">
        <v>914</v>
      </c>
      <c r="C32" s="16"/>
      <c r="D32" s="16" t="s">
        <v>396</v>
      </c>
    </row>
    <row r="33" spans="1:4" x14ac:dyDescent="0.25">
      <c r="A33" s="16" t="s">
        <v>2142</v>
      </c>
      <c r="B33" s="16" t="s">
        <v>329</v>
      </c>
      <c r="C33" s="16" t="s">
        <v>303</v>
      </c>
      <c r="D33" s="16"/>
    </row>
    <row r="34" spans="1:4" x14ac:dyDescent="0.25">
      <c r="A34" s="16" t="s">
        <v>2143</v>
      </c>
      <c r="B34" s="16" t="s">
        <v>380</v>
      </c>
      <c r="C34" s="5">
        <v>43102</v>
      </c>
      <c r="D34" s="16"/>
    </row>
    <row r="35" spans="1:4" x14ac:dyDescent="0.25">
      <c r="A35" s="16" t="s">
        <v>2144</v>
      </c>
      <c r="B35" s="16" t="s">
        <v>306</v>
      </c>
      <c r="C35" s="5">
        <v>43223</v>
      </c>
      <c r="D35" s="16"/>
    </row>
    <row r="36" spans="1:4" x14ac:dyDescent="0.25">
      <c r="A36" s="16" t="s">
        <v>2145</v>
      </c>
      <c r="B36" s="16" t="s">
        <v>485</v>
      </c>
      <c r="C36" s="24">
        <v>27395</v>
      </c>
      <c r="D36" s="16"/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"/>
  <sheetViews>
    <sheetView workbookViewId="0">
      <selection activeCell="N25" sqref="N24:N25"/>
    </sheetView>
  </sheetViews>
  <sheetFormatPr baseColWidth="10" defaultRowHeight="15" x14ac:dyDescent="0.25"/>
  <sheetData>
    <row r="1" spans="1:9" x14ac:dyDescent="0.25">
      <c r="A1" s="16" t="s">
        <v>360</v>
      </c>
      <c r="B1" s="16" t="s">
        <v>44</v>
      </c>
      <c r="C1" s="16" t="s">
        <v>41</v>
      </c>
      <c r="D1" s="16" t="s">
        <v>42</v>
      </c>
      <c r="E1" s="16" t="s">
        <v>43</v>
      </c>
      <c r="F1" s="16" t="s">
        <v>40</v>
      </c>
      <c r="G1" s="16" t="s">
        <v>1687</v>
      </c>
      <c r="H1" s="16" t="s">
        <v>2068</v>
      </c>
      <c r="I1" s="16" t="s">
        <v>1726</v>
      </c>
    </row>
    <row r="2" spans="1:9" x14ac:dyDescent="0.25">
      <c r="A2" s="16" t="s">
        <v>361</v>
      </c>
      <c r="B2" s="16"/>
      <c r="C2" s="16"/>
      <c r="D2" s="16"/>
      <c r="E2" s="16"/>
      <c r="F2" s="16"/>
      <c r="G2" s="16"/>
      <c r="H2" s="16"/>
      <c r="I2" s="16"/>
    </row>
    <row r="3" spans="1:9" x14ac:dyDescent="0.25">
      <c r="A3" s="16" t="s">
        <v>362</v>
      </c>
      <c r="B3" s="16"/>
      <c r="C3" s="16"/>
      <c r="D3" s="16"/>
      <c r="E3" s="16"/>
      <c r="F3" s="16"/>
      <c r="G3" s="16"/>
      <c r="H3" s="16"/>
      <c r="I3" s="16"/>
    </row>
    <row r="4" spans="1:9" x14ac:dyDescent="0.25">
      <c r="A4" s="16" t="s">
        <v>363</v>
      </c>
      <c r="B4" s="16" t="s">
        <v>366</v>
      </c>
      <c r="C4" s="16" t="s">
        <v>14</v>
      </c>
      <c r="D4" s="5">
        <v>43327</v>
      </c>
      <c r="E4" s="16" t="s">
        <v>365</v>
      </c>
      <c r="F4" s="16" t="s">
        <v>364</v>
      </c>
      <c r="G4" s="16"/>
      <c r="H4" s="16"/>
      <c r="I4" s="16"/>
    </row>
    <row r="5" spans="1:9" x14ac:dyDescent="0.25">
      <c r="A5" s="16" t="s">
        <v>367</v>
      </c>
      <c r="B5" s="16"/>
      <c r="C5" s="16" t="s">
        <v>14</v>
      </c>
      <c r="D5" s="16"/>
      <c r="E5" s="16"/>
      <c r="F5" s="16"/>
      <c r="G5" s="16"/>
      <c r="H5" s="16"/>
      <c r="I5" s="16"/>
    </row>
    <row r="6" spans="1:9" x14ac:dyDescent="0.25">
      <c r="A6" s="16" t="s">
        <v>368</v>
      </c>
      <c r="B6" s="16" t="s">
        <v>370</v>
      </c>
      <c r="C6" s="16" t="s">
        <v>299</v>
      </c>
      <c r="D6" s="5">
        <v>43347</v>
      </c>
      <c r="E6" s="16" t="s">
        <v>369</v>
      </c>
      <c r="F6" s="16" t="s">
        <v>244</v>
      </c>
      <c r="G6" s="16" t="s">
        <v>2146</v>
      </c>
      <c r="H6" s="16" t="s">
        <v>2147</v>
      </c>
      <c r="I6" s="16" t="s">
        <v>2148</v>
      </c>
    </row>
    <row r="7" spans="1:9" x14ac:dyDescent="0.25">
      <c r="A7" s="16" t="s">
        <v>371</v>
      </c>
      <c r="B7" s="16"/>
      <c r="C7" s="16" t="s">
        <v>14</v>
      </c>
      <c r="D7" s="16"/>
      <c r="E7" s="16"/>
      <c r="F7" s="16"/>
      <c r="G7" s="16"/>
      <c r="H7" s="16"/>
      <c r="I7" s="16"/>
    </row>
    <row r="8" spans="1:9" x14ac:dyDescent="0.25">
      <c r="A8" s="16" t="s">
        <v>2149</v>
      </c>
      <c r="B8" s="16"/>
      <c r="C8" s="16" t="s">
        <v>14</v>
      </c>
      <c r="D8" s="16"/>
      <c r="E8" s="16"/>
      <c r="F8" s="16" t="s">
        <v>373</v>
      </c>
      <c r="G8" s="16"/>
      <c r="H8" s="16"/>
      <c r="I8" s="16"/>
    </row>
    <row r="9" spans="1:9" x14ac:dyDescent="0.25">
      <c r="A9" s="16" t="s">
        <v>374</v>
      </c>
      <c r="B9" s="16"/>
      <c r="C9" s="16"/>
      <c r="D9" s="16"/>
      <c r="E9" s="16"/>
      <c r="F9" s="16"/>
      <c r="G9" s="16"/>
      <c r="H9" s="16"/>
      <c r="I9" s="16"/>
    </row>
    <row r="10" spans="1:9" x14ac:dyDescent="0.25">
      <c r="A10" s="16" t="s">
        <v>375</v>
      </c>
      <c r="B10" s="16"/>
      <c r="C10" s="16"/>
      <c r="D10" s="16"/>
      <c r="E10" s="16"/>
      <c r="F10" s="16"/>
      <c r="G10" s="16"/>
      <c r="H10" s="16"/>
      <c r="I10" s="16"/>
    </row>
    <row r="11" spans="1:9" x14ac:dyDescent="0.25">
      <c r="A11" s="16" t="s">
        <v>376</v>
      </c>
      <c r="B11" s="16" t="s">
        <v>378</v>
      </c>
      <c r="C11" s="16"/>
      <c r="D11" s="5">
        <v>43144</v>
      </c>
      <c r="E11" s="16" t="s">
        <v>377</v>
      </c>
      <c r="F11" s="16"/>
      <c r="G11" s="16" t="s">
        <v>2150</v>
      </c>
      <c r="H11" s="16"/>
      <c r="I11" s="16"/>
    </row>
    <row r="12" spans="1:9" x14ac:dyDescent="0.25">
      <c r="A12" s="16" t="s">
        <v>379</v>
      </c>
      <c r="B12" s="16"/>
      <c r="C12" s="16"/>
      <c r="D12" s="16"/>
      <c r="E12" s="16"/>
      <c r="F12" s="16" t="s">
        <v>380</v>
      </c>
      <c r="G12" s="16"/>
      <c r="H12" s="16"/>
      <c r="I12" s="16"/>
    </row>
    <row r="13" spans="1:9" x14ac:dyDescent="0.25">
      <c r="A13" s="16" t="s">
        <v>381</v>
      </c>
      <c r="B13" s="16"/>
      <c r="C13" s="16"/>
      <c r="D13" s="16"/>
      <c r="E13" s="16"/>
      <c r="F13" s="16"/>
      <c r="G13" s="16"/>
      <c r="H13" s="16"/>
      <c r="I13" s="16"/>
    </row>
    <row r="14" spans="1:9" x14ac:dyDescent="0.25">
      <c r="A14" s="16" t="s">
        <v>382</v>
      </c>
      <c r="B14" s="16"/>
      <c r="C14" s="16"/>
      <c r="D14" s="16"/>
      <c r="E14" s="16"/>
      <c r="F14" s="16"/>
      <c r="G14" s="16"/>
      <c r="H14" s="16"/>
      <c r="I14" s="16"/>
    </row>
    <row r="15" spans="1:9" x14ac:dyDescent="0.25">
      <c r="A15" s="16" t="s">
        <v>1760</v>
      </c>
      <c r="B15" s="16"/>
      <c r="C15" s="16" t="s">
        <v>14</v>
      </c>
      <c r="D15" s="16"/>
      <c r="E15" s="16"/>
      <c r="F15" s="16" t="s">
        <v>214</v>
      </c>
      <c r="G15" s="16"/>
      <c r="H15" s="16"/>
      <c r="I15" s="16"/>
    </row>
    <row r="16" spans="1:9" x14ac:dyDescent="0.25">
      <c r="A16" s="16" t="s">
        <v>383</v>
      </c>
      <c r="B16" s="16" t="s">
        <v>385</v>
      </c>
      <c r="C16" s="16"/>
      <c r="D16" s="5">
        <v>43257</v>
      </c>
      <c r="E16" s="16" t="s">
        <v>384</v>
      </c>
      <c r="F16" s="16"/>
      <c r="G16" s="16" t="s">
        <v>2151</v>
      </c>
      <c r="H16" s="16" t="s">
        <v>2152</v>
      </c>
      <c r="I16" s="16" t="s">
        <v>2153</v>
      </c>
    </row>
    <row r="17" spans="1:9" x14ac:dyDescent="0.25">
      <c r="A17" s="16" t="s">
        <v>386</v>
      </c>
      <c r="B17" s="16"/>
      <c r="C17" s="16"/>
      <c r="D17" s="16"/>
      <c r="E17" s="16"/>
      <c r="F17" s="16"/>
      <c r="G17" s="16"/>
      <c r="H17" s="16"/>
      <c r="I17" s="16"/>
    </row>
    <row r="18" spans="1:9" x14ac:dyDescent="0.25">
      <c r="A18" s="16" t="s">
        <v>387</v>
      </c>
      <c r="B18" s="16"/>
      <c r="C18" s="16"/>
      <c r="D18" s="16"/>
      <c r="E18" s="16"/>
      <c r="F18" s="16" t="s">
        <v>388</v>
      </c>
      <c r="G18" s="16"/>
      <c r="H18" s="16"/>
      <c r="I18" s="16"/>
    </row>
    <row r="19" spans="1:9" x14ac:dyDescent="0.25">
      <c r="A19" s="16" t="s">
        <v>389</v>
      </c>
      <c r="B19" s="16"/>
      <c r="C19" s="16"/>
      <c r="D19" s="16"/>
      <c r="E19" s="16"/>
      <c r="F19" s="16" t="s">
        <v>262</v>
      </c>
      <c r="G19" s="16"/>
      <c r="H19" s="16"/>
      <c r="I19" s="16"/>
    </row>
    <row r="20" spans="1:9" x14ac:dyDescent="0.25">
      <c r="A20" s="16" t="s">
        <v>390</v>
      </c>
      <c r="B20" s="16"/>
      <c r="C20" s="16"/>
      <c r="D20" s="16"/>
      <c r="E20" s="16"/>
      <c r="F20" s="16"/>
      <c r="G20" s="16"/>
      <c r="H20" s="16"/>
      <c r="I20" s="16"/>
    </row>
    <row r="21" spans="1:9" x14ac:dyDescent="0.25">
      <c r="A21" s="16" t="s">
        <v>391</v>
      </c>
      <c r="B21" s="16"/>
      <c r="C21" s="16"/>
      <c r="D21" s="16"/>
      <c r="E21" s="16"/>
      <c r="F21" s="16"/>
      <c r="G21" s="16"/>
      <c r="H21" s="16"/>
      <c r="I21" s="16"/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5"/>
  <sheetViews>
    <sheetView workbookViewId="0">
      <selection activeCell="I21" sqref="I21"/>
    </sheetView>
  </sheetViews>
  <sheetFormatPr baseColWidth="10" defaultRowHeight="15" x14ac:dyDescent="0.25"/>
  <sheetData>
    <row r="1" spans="1:6" x14ac:dyDescent="0.25">
      <c r="A1" s="16" t="s">
        <v>392</v>
      </c>
      <c r="B1" s="16" t="s">
        <v>45</v>
      </c>
      <c r="C1" s="16" t="s">
        <v>46</v>
      </c>
      <c r="D1" s="16" t="s">
        <v>47</v>
      </c>
      <c r="E1" s="16" t="s">
        <v>1900</v>
      </c>
      <c r="F1" s="16" t="s">
        <v>1901</v>
      </c>
    </row>
    <row r="2" spans="1:6" x14ac:dyDescent="0.25">
      <c r="A2" s="16" t="s">
        <v>393</v>
      </c>
      <c r="B2" s="16" t="s">
        <v>395</v>
      </c>
      <c r="C2" s="16" t="s">
        <v>394</v>
      </c>
      <c r="D2" s="16" t="s">
        <v>334</v>
      </c>
      <c r="E2" s="16"/>
      <c r="F2" s="16"/>
    </row>
    <row r="3" spans="1:6" x14ac:dyDescent="0.25">
      <c r="A3" s="16" t="s">
        <v>397</v>
      </c>
      <c r="B3" s="16" t="s">
        <v>399</v>
      </c>
      <c r="C3" s="16" t="s">
        <v>398</v>
      </c>
      <c r="D3" s="16" t="s">
        <v>218</v>
      </c>
      <c r="E3" s="16" t="s">
        <v>319</v>
      </c>
      <c r="F3" s="16" t="s">
        <v>318</v>
      </c>
    </row>
    <row r="4" spans="1:6" x14ac:dyDescent="0.25">
      <c r="A4" s="16" t="s">
        <v>400</v>
      </c>
      <c r="B4" s="16" t="s">
        <v>402</v>
      </c>
      <c r="C4" s="16" t="s">
        <v>401</v>
      </c>
      <c r="D4" s="16" t="s">
        <v>214</v>
      </c>
      <c r="E4" s="16" t="s">
        <v>311</v>
      </c>
      <c r="F4" s="16" t="s">
        <v>214</v>
      </c>
    </row>
    <row r="5" spans="1:6" x14ac:dyDescent="0.25">
      <c r="A5" s="16" t="s">
        <v>403</v>
      </c>
      <c r="B5" s="16" t="s">
        <v>405</v>
      </c>
      <c r="C5" s="16" t="s">
        <v>404</v>
      </c>
      <c r="D5" s="16" t="s">
        <v>262</v>
      </c>
      <c r="E5" s="16" t="s">
        <v>380</v>
      </c>
      <c r="F5" s="16" t="s">
        <v>262</v>
      </c>
    </row>
    <row r="6" spans="1:6" x14ac:dyDescent="0.25">
      <c r="A6" s="16" t="s">
        <v>406</v>
      </c>
      <c r="B6" s="16" t="s">
        <v>408</v>
      </c>
      <c r="C6" s="16" t="s">
        <v>407</v>
      </c>
      <c r="D6" s="16" t="s">
        <v>241</v>
      </c>
      <c r="E6" s="16"/>
      <c r="F6" s="16"/>
    </row>
    <row r="7" spans="1:6" x14ac:dyDescent="0.25">
      <c r="A7" s="16" t="s">
        <v>409</v>
      </c>
      <c r="B7" s="16" t="s">
        <v>411</v>
      </c>
      <c r="C7" s="16" t="s">
        <v>2154</v>
      </c>
      <c r="D7" s="16" t="s">
        <v>14</v>
      </c>
      <c r="E7" s="16" t="s">
        <v>556</v>
      </c>
      <c r="F7" s="16" t="s">
        <v>981</v>
      </c>
    </row>
    <row r="8" spans="1:6" x14ac:dyDescent="0.25">
      <c r="A8" s="16" t="s">
        <v>413</v>
      </c>
      <c r="B8" s="16" t="s">
        <v>415</v>
      </c>
      <c r="C8" s="16" t="s">
        <v>414</v>
      </c>
      <c r="D8" s="16" t="s">
        <v>310</v>
      </c>
      <c r="E8" s="16" t="s">
        <v>239</v>
      </c>
      <c r="F8" s="16" t="s">
        <v>310</v>
      </c>
    </row>
    <row r="9" spans="1:6" x14ac:dyDescent="0.25">
      <c r="A9" s="16" t="s">
        <v>416</v>
      </c>
      <c r="B9" s="16" t="s">
        <v>418</v>
      </c>
      <c r="C9" s="16" t="s">
        <v>417</v>
      </c>
      <c r="D9" s="16" t="s">
        <v>419</v>
      </c>
      <c r="E9" s="16" t="s">
        <v>618</v>
      </c>
      <c r="F9" s="16" t="s">
        <v>419</v>
      </c>
    </row>
    <row r="10" spans="1:6" x14ac:dyDescent="0.25">
      <c r="A10" s="16" t="s">
        <v>420</v>
      </c>
      <c r="B10" s="16" t="s">
        <v>422</v>
      </c>
      <c r="C10" s="16" t="s">
        <v>421</v>
      </c>
      <c r="D10" s="16" t="s">
        <v>423</v>
      </c>
      <c r="E10" s="16" t="s">
        <v>747</v>
      </c>
      <c r="F10" s="16" t="s">
        <v>423</v>
      </c>
    </row>
    <row r="11" spans="1:6" x14ac:dyDescent="0.25">
      <c r="A11" s="16" t="s">
        <v>424</v>
      </c>
      <c r="B11" s="16" t="s">
        <v>2155</v>
      </c>
      <c r="C11" s="16" t="s">
        <v>425</v>
      </c>
      <c r="D11" s="16" t="s">
        <v>426</v>
      </c>
      <c r="E11" s="16" t="s">
        <v>2156</v>
      </c>
      <c r="F11" s="16" t="s">
        <v>792</v>
      </c>
    </row>
    <row r="12" spans="1:6" x14ac:dyDescent="0.25">
      <c r="A12" s="16" t="s">
        <v>427</v>
      </c>
      <c r="B12" s="16" t="s">
        <v>429</v>
      </c>
      <c r="C12" s="16" t="s">
        <v>428</v>
      </c>
      <c r="D12" s="16" t="s">
        <v>293</v>
      </c>
      <c r="E12" s="16" t="s">
        <v>1061</v>
      </c>
      <c r="F12" s="16" t="s">
        <v>293</v>
      </c>
    </row>
    <row r="13" spans="1:6" x14ac:dyDescent="0.25">
      <c r="A13" s="16" t="s">
        <v>430</v>
      </c>
      <c r="B13" s="16" t="s">
        <v>432</v>
      </c>
      <c r="C13" s="16" t="s">
        <v>431</v>
      </c>
      <c r="D13" s="16" t="s">
        <v>433</v>
      </c>
      <c r="E13" s="16" t="s">
        <v>2157</v>
      </c>
      <c r="F13" s="16" t="s">
        <v>426</v>
      </c>
    </row>
    <row r="14" spans="1:6" x14ac:dyDescent="0.25">
      <c r="A14" s="16" t="s">
        <v>434</v>
      </c>
      <c r="B14" s="16" t="s">
        <v>436</v>
      </c>
      <c r="C14" s="16" t="s">
        <v>435</v>
      </c>
      <c r="D14" s="16" t="s">
        <v>437</v>
      </c>
      <c r="E14" s="16" t="s">
        <v>342</v>
      </c>
      <c r="F14" s="16" t="s">
        <v>437</v>
      </c>
    </row>
    <row r="15" spans="1:6" x14ac:dyDescent="0.25">
      <c r="A15" s="16" t="s">
        <v>438</v>
      </c>
      <c r="B15" s="16" t="s">
        <v>440</v>
      </c>
      <c r="C15" s="16" t="s">
        <v>439</v>
      </c>
      <c r="D15" s="16" t="s">
        <v>441</v>
      </c>
      <c r="E15" s="16" t="s">
        <v>2158</v>
      </c>
      <c r="F15" s="16" t="s">
        <v>470</v>
      </c>
    </row>
    <row r="16" spans="1:6" x14ac:dyDescent="0.25">
      <c r="A16" s="16" t="s">
        <v>442</v>
      </c>
      <c r="B16" s="16" t="s">
        <v>444</v>
      </c>
      <c r="C16" s="16" t="s">
        <v>443</v>
      </c>
      <c r="D16" s="16" t="s">
        <v>445</v>
      </c>
      <c r="E16" s="16" t="s">
        <v>351</v>
      </c>
      <c r="F16" s="16" t="s">
        <v>445</v>
      </c>
    </row>
    <row r="17" spans="1:6" x14ac:dyDescent="0.25">
      <c r="A17" s="16" t="s">
        <v>446</v>
      </c>
      <c r="B17" s="16" t="s">
        <v>448</v>
      </c>
      <c r="C17" s="16" t="s">
        <v>447</v>
      </c>
      <c r="D17" s="16" t="s">
        <v>335</v>
      </c>
      <c r="E17" s="16" t="s">
        <v>224</v>
      </c>
      <c r="F17" s="16" t="s">
        <v>796</v>
      </c>
    </row>
    <row r="18" spans="1:6" x14ac:dyDescent="0.25">
      <c r="A18" s="16" t="s">
        <v>449</v>
      </c>
      <c r="B18" s="16" t="s">
        <v>451</v>
      </c>
      <c r="C18" s="16" t="s">
        <v>450</v>
      </c>
      <c r="D18" s="16" t="s">
        <v>346</v>
      </c>
      <c r="E18" s="16" t="s">
        <v>327</v>
      </c>
      <c r="F18" s="16" t="s">
        <v>346</v>
      </c>
    </row>
    <row r="19" spans="1:6" x14ac:dyDescent="0.25">
      <c r="A19" s="16" t="s">
        <v>452</v>
      </c>
      <c r="B19" s="16" t="s">
        <v>454</v>
      </c>
      <c r="C19" s="16" t="s">
        <v>453</v>
      </c>
      <c r="D19" s="16" t="s">
        <v>223</v>
      </c>
      <c r="E19" s="16" t="s">
        <v>357</v>
      </c>
      <c r="F19" s="16" t="s">
        <v>223</v>
      </c>
    </row>
    <row r="20" spans="1:6" x14ac:dyDescent="0.25">
      <c r="A20" s="16" t="s">
        <v>455</v>
      </c>
      <c r="B20" s="16" t="s">
        <v>457</v>
      </c>
      <c r="C20" s="16" t="s">
        <v>456</v>
      </c>
      <c r="D20" s="16" t="s">
        <v>462</v>
      </c>
      <c r="E20" s="16" t="s">
        <v>647</v>
      </c>
      <c r="F20" s="16" t="s">
        <v>474</v>
      </c>
    </row>
    <row r="21" spans="1:6" x14ac:dyDescent="0.25">
      <c r="A21" s="16" t="s">
        <v>459</v>
      </c>
      <c r="B21" s="16" t="s">
        <v>461</v>
      </c>
      <c r="C21" s="16" t="s">
        <v>460</v>
      </c>
      <c r="D21" s="16" t="s">
        <v>462</v>
      </c>
      <c r="E21" s="16" t="s">
        <v>466</v>
      </c>
      <c r="F21" s="16" t="s">
        <v>458</v>
      </c>
    </row>
    <row r="22" spans="1:6" x14ac:dyDescent="0.25">
      <c r="A22" s="16" t="s">
        <v>463</v>
      </c>
      <c r="B22" s="16" t="s">
        <v>465</v>
      </c>
      <c r="C22" s="16" t="s">
        <v>464</v>
      </c>
      <c r="D22" s="16" t="s">
        <v>466</v>
      </c>
      <c r="E22" s="16" t="s">
        <v>897</v>
      </c>
      <c r="F22" s="16" t="s">
        <v>466</v>
      </c>
    </row>
    <row r="23" spans="1:6" x14ac:dyDescent="0.25">
      <c r="A23" s="16" t="s">
        <v>467</v>
      </c>
      <c r="B23" s="16" t="s">
        <v>469</v>
      </c>
      <c r="C23" s="16" t="s">
        <v>468</v>
      </c>
      <c r="D23" s="16" t="s">
        <v>470</v>
      </c>
      <c r="E23" s="16" t="s">
        <v>341</v>
      </c>
      <c r="F23" s="16" t="s">
        <v>763</v>
      </c>
    </row>
    <row r="24" spans="1:6" x14ac:dyDescent="0.25">
      <c r="A24" s="16" t="s">
        <v>471</v>
      </c>
      <c r="B24" s="16" t="s">
        <v>473</v>
      </c>
      <c r="C24" s="16" t="s">
        <v>472</v>
      </c>
      <c r="D24" s="16" t="s">
        <v>474</v>
      </c>
      <c r="E24" s="16" t="s">
        <v>522</v>
      </c>
      <c r="F24" s="16" t="s">
        <v>441</v>
      </c>
    </row>
    <row r="25" spans="1:6" x14ac:dyDescent="0.25">
      <c r="A25" s="16" t="s">
        <v>475</v>
      </c>
      <c r="B25" s="16" t="s">
        <v>477</v>
      </c>
      <c r="C25" s="16" t="s">
        <v>476</v>
      </c>
      <c r="D25" s="16" t="s">
        <v>478</v>
      </c>
      <c r="E25" s="16"/>
      <c r="F25" s="16"/>
    </row>
    <row r="26" spans="1:6" x14ac:dyDescent="0.25">
      <c r="A26" s="16" t="s">
        <v>479</v>
      </c>
      <c r="B26" s="16" t="s">
        <v>481</v>
      </c>
      <c r="C26" s="16" t="s">
        <v>480</v>
      </c>
      <c r="D26" s="16" t="s">
        <v>345</v>
      </c>
      <c r="E26" s="16" t="s">
        <v>899</v>
      </c>
      <c r="F26" s="16" t="s">
        <v>345</v>
      </c>
    </row>
    <row r="27" spans="1:6" x14ac:dyDescent="0.25">
      <c r="A27" s="16" t="s">
        <v>482</v>
      </c>
      <c r="B27" s="16" t="s">
        <v>484</v>
      </c>
      <c r="C27" s="16" t="s">
        <v>483</v>
      </c>
      <c r="D27" s="16" t="s">
        <v>485</v>
      </c>
      <c r="E27" s="16" t="s">
        <v>358</v>
      </c>
      <c r="F27" s="16" t="s">
        <v>485</v>
      </c>
    </row>
    <row r="28" spans="1:6" x14ac:dyDescent="0.25">
      <c r="A28" s="16" t="s">
        <v>486</v>
      </c>
      <c r="B28" s="16" t="s">
        <v>488</v>
      </c>
      <c r="C28" s="16" t="s">
        <v>487</v>
      </c>
      <c r="D28" s="16" t="s">
        <v>14</v>
      </c>
      <c r="E28" s="16"/>
      <c r="F28" s="16"/>
    </row>
    <row r="29" spans="1:6" x14ac:dyDescent="0.25">
      <c r="A29" s="16" t="s">
        <v>489</v>
      </c>
      <c r="B29" s="16" t="s">
        <v>491</v>
      </c>
      <c r="C29" s="16" t="s">
        <v>490</v>
      </c>
      <c r="D29" s="16" t="s">
        <v>492</v>
      </c>
      <c r="E29" s="16" t="s">
        <v>2123</v>
      </c>
      <c r="F29" s="16" t="s">
        <v>492</v>
      </c>
    </row>
    <row r="30" spans="1:6" x14ac:dyDescent="0.25">
      <c r="A30" s="16" t="s">
        <v>493</v>
      </c>
      <c r="B30" s="16" t="s">
        <v>495</v>
      </c>
      <c r="C30" s="16" t="s">
        <v>494</v>
      </c>
      <c r="D30" s="16" t="s">
        <v>496</v>
      </c>
      <c r="E30" s="16" t="s">
        <v>972</v>
      </c>
      <c r="F30" s="16" t="s">
        <v>349</v>
      </c>
    </row>
    <row r="31" spans="1:6" x14ac:dyDescent="0.25">
      <c r="A31" s="16" t="s">
        <v>497</v>
      </c>
      <c r="B31" s="16" t="s">
        <v>499</v>
      </c>
      <c r="C31" s="16" t="s">
        <v>498</v>
      </c>
      <c r="D31" s="16" t="s">
        <v>500</v>
      </c>
      <c r="E31" s="16" t="s">
        <v>423</v>
      </c>
      <c r="F31" s="16" t="s">
        <v>2159</v>
      </c>
    </row>
    <row r="32" spans="1:6" x14ac:dyDescent="0.25">
      <c r="A32" s="16" t="s">
        <v>501</v>
      </c>
      <c r="B32" s="16" t="s">
        <v>502</v>
      </c>
      <c r="C32" s="16" t="s">
        <v>242</v>
      </c>
      <c r="D32" s="16" t="s">
        <v>503</v>
      </c>
      <c r="E32" s="16" t="s">
        <v>227</v>
      </c>
      <c r="F32" s="16" t="s">
        <v>914</v>
      </c>
    </row>
    <row r="33" spans="1:6" x14ac:dyDescent="0.25">
      <c r="A33" s="16" t="s">
        <v>504</v>
      </c>
      <c r="B33" s="16" t="s">
        <v>506</v>
      </c>
      <c r="C33" s="16" t="s">
        <v>505</v>
      </c>
      <c r="D33" s="16" t="s">
        <v>357</v>
      </c>
      <c r="E33" s="16" t="s">
        <v>346</v>
      </c>
      <c r="F33" s="16" t="s">
        <v>357</v>
      </c>
    </row>
    <row r="34" spans="1:6" x14ac:dyDescent="0.25">
      <c r="A34" s="16" t="s">
        <v>507</v>
      </c>
      <c r="B34" s="16" t="s">
        <v>477</v>
      </c>
      <c r="C34" s="16" t="s">
        <v>476</v>
      </c>
      <c r="D34" s="16" t="s">
        <v>2160</v>
      </c>
      <c r="E34" s="16" t="s">
        <v>706</v>
      </c>
      <c r="F34" s="16" t="s">
        <v>2160</v>
      </c>
    </row>
    <row r="35" spans="1:6" x14ac:dyDescent="0.25">
      <c r="A35" s="16" t="s">
        <v>508</v>
      </c>
      <c r="B35" s="16" t="s">
        <v>510</v>
      </c>
      <c r="C35" s="16" t="s">
        <v>509</v>
      </c>
      <c r="D35" s="16" t="s">
        <v>511</v>
      </c>
      <c r="E35" s="16" t="s">
        <v>938</v>
      </c>
      <c r="F35" s="16" t="s">
        <v>680</v>
      </c>
    </row>
    <row r="36" spans="1:6" x14ac:dyDescent="0.25">
      <c r="A36" s="16" t="s">
        <v>512</v>
      </c>
      <c r="B36" s="16" t="s">
        <v>514</v>
      </c>
      <c r="C36" s="16" t="s">
        <v>513</v>
      </c>
      <c r="D36" s="16" t="s">
        <v>277</v>
      </c>
      <c r="E36" s="16" t="s">
        <v>2161</v>
      </c>
      <c r="F36" s="16" t="s">
        <v>949</v>
      </c>
    </row>
    <row r="37" spans="1:6" x14ac:dyDescent="0.25">
      <c r="A37" s="16" t="s">
        <v>515</v>
      </c>
      <c r="B37" s="16" t="s">
        <v>517</v>
      </c>
      <c r="C37" s="16" t="s">
        <v>516</v>
      </c>
      <c r="D37" s="16" t="s">
        <v>518</v>
      </c>
      <c r="E37" s="16" t="s">
        <v>814</v>
      </c>
      <c r="F37" s="16" t="s">
        <v>518</v>
      </c>
    </row>
    <row r="38" spans="1:6" x14ac:dyDescent="0.25">
      <c r="A38" s="16" t="s">
        <v>519</v>
      </c>
      <c r="B38" s="16" t="s">
        <v>521</v>
      </c>
      <c r="C38" s="16" t="s">
        <v>520</v>
      </c>
      <c r="D38" s="16" t="s">
        <v>522</v>
      </c>
      <c r="E38" s="16" t="s">
        <v>906</v>
      </c>
      <c r="F38" s="16" t="s">
        <v>2158</v>
      </c>
    </row>
    <row r="39" spans="1:6" x14ac:dyDescent="0.25">
      <c r="A39" s="16" t="s">
        <v>523</v>
      </c>
      <c r="B39" s="16" t="s">
        <v>524</v>
      </c>
      <c r="C39" s="16" t="s">
        <v>2162</v>
      </c>
      <c r="D39" s="16" t="s">
        <v>525</v>
      </c>
      <c r="E39" s="16" t="s">
        <v>2163</v>
      </c>
      <c r="F39" s="16" t="s">
        <v>525</v>
      </c>
    </row>
    <row r="40" spans="1:6" x14ac:dyDescent="0.25">
      <c r="A40" s="16" t="s">
        <v>526</v>
      </c>
      <c r="B40" s="16" t="s">
        <v>528</v>
      </c>
      <c r="C40" s="16" t="s">
        <v>527</v>
      </c>
      <c r="D40" s="16" t="s">
        <v>303</v>
      </c>
      <c r="E40" s="16" t="s">
        <v>266</v>
      </c>
      <c r="F40" s="16" t="s">
        <v>303</v>
      </c>
    </row>
    <row r="41" spans="1:6" x14ac:dyDescent="0.25">
      <c r="A41" s="16" t="s">
        <v>529</v>
      </c>
      <c r="B41" s="16" t="s">
        <v>531</v>
      </c>
      <c r="C41" s="16" t="s">
        <v>530</v>
      </c>
      <c r="D41" s="16" t="s">
        <v>239</v>
      </c>
      <c r="E41" s="16" t="s">
        <v>355</v>
      </c>
      <c r="F41" s="16" t="s">
        <v>220</v>
      </c>
    </row>
    <row r="42" spans="1:6" x14ac:dyDescent="0.25">
      <c r="A42" s="16" t="s">
        <v>532</v>
      </c>
      <c r="B42" s="16" t="s">
        <v>534</v>
      </c>
      <c r="C42" s="16" t="s">
        <v>533</v>
      </c>
      <c r="D42" s="16" t="s">
        <v>220</v>
      </c>
      <c r="E42" s="16" t="s">
        <v>354</v>
      </c>
      <c r="F42" s="16" t="s">
        <v>238</v>
      </c>
    </row>
    <row r="43" spans="1:6" x14ac:dyDescent="0.25">
      <c r="A43" s="16" t="s">
        <v>535</v>
      </c>
      <c r="B43" s="16" t="s">
        <v>537</v>
      </c>
      <c r="C43" s="16" t="s">
        <v>536</v>
      </c>
      <c r="D43" s="16" t="s">
        <v>538</v>
      </c>
      <c r="E43" s="16" t="s">
        <v>356</v>
      </c>
      <c r="F43" s="16" t="s">
        <v>538</v>
      </c>
    </row>
    <row r="44" spans="1:6" x14ac:dyDescent="0.25">
      <c r="A44" s="16" t="s">
        <v>539</v>
      </c>
      <c r="B44" s="16" t="s">
        <v>541</v>
      </c>
      <c r="C44" s="16" t="s">
        <v>540</v>
      </c>
      <c r="D44" s="16" t="s">
        <v>354</v>
      </c>
      <c r="E44" s="16" t="s">
        <v>2160</v>
      </c>
      <c r="F44" s="16" t="s">
        <v>354</v>
      </c>
    </row>
    <row r="45" spans="1:6" x14ac:dyDescent="0.25">
      <c r="A45" s="16" t="s">
        <v>542</v>
      </c>
      <c r="B45" s="16" t="s">
        <v>544</v>
      </c>
      <c r="C45" s="16" t="s">
        <v>543</v>
      </c>
      <c r="D45" s="16" t="s">
        <v>355</v>
      </c>
      <c r="E45" s="16"/>
      <c r="F45" s="16"/>
    </row>
    <row r="46" spans="1:6" x14ac:dyDescent="0.25">
      <c r="A46" s="16" t="s">
        <v>545</v>
      </c>
      <c r="B46" s="16" t="s">
        <v>544</v>
      </c>
      <c r="C46" s="16" t="s">
        <v>543</v>
      </c>
      <c r="D46" s="16" t="s">
        <v>356</v>
      </c>
      <c r="E46" s="16" t="s">
        <v>751</v>
      </c>
      <c r="F46" s="16" t="s">
        <v>478</v>
      </c>
    </row>
    <row r="47" spans="1:6" x14ac:dyDescent="0.25">
      <c r="A47" s="16" t="s">
        <v>546</v>
      </c>
      <c r="B47" s="16" t="s">
        <v>548</v>
      </c>
      <c r="C47" s="16" t="s">
        <v>547</v>
      </c>
      <c r="D47" s="16" t="s">
        <v>549</v>
      </c>
      <c r="E47" s="16" t="s">
        <v>819</v>
      </c>
      <c r="F47" s="16" t="s">
        <v>333</v>
      </c>
    </row>
    <row r="48" spans="1:6" x14ac:dyDescent="0.25">
      <c r="A48" s="16" t="s">
        <v>550</v>
      </c>
      <c r="B48" s="16" t="s">
        <v>552</v>
      </c>
      <c r="C48" s="16" t="s">
        <v>551</v>
      </c>
      <c r="D48" s="16" t="s">
        <v>273</v>
      </c>
      <c r="E48" s="16" t="s">
        <v>364</v>
      </c>
      <c r="F48" s="16" t="s">
        <v>388</v>
      </c>
    </row>
    <row r="49" spans="1:6" x14ac:dyDescent="0.25">
      <c r="A49" s="16" t="s">
        <v>553</v>
      </c>
      <c r="B49" s="16" t="s">
        <v>555</v>
      </c>
      <c r="C49" s="16" t="s">
        <v>554</v>
      </c>
      <c r="D49" s="16" t="s">
        <v>556</v>
      </c>
      <c r="E49" s="16" t="s">
        <v>559</v>
      </c>
      <c r="F49" s="16" t="s">
        <v>556</v>
      </c>
    </row>
    <row r="50" spans="1:6" x14ac:dyDescent="0.25">
      <c r="A50" s="16" t="s">
        <v>557</v>
      </c>
      <c r="B50" s="16" t="s">
        <v>558</v>
      </c>
      <c r="C50" s="16" t="s">
        <v>245</v>
      </c>
      <c r="D50" s="16" t="s">
        <v>819</v>
      </c>
      <c r="E50" s="16" t="s">
        <v>709</v>
      </c>
      <c r="F50" s="16" t="s">
        <v>396</v>
      </c>
    </row>
    <row r="51" spans="1:6" x14ac:dyDescent="0.25">
      <c r="A51" s="16" t="s">
        <v>560</v>
      </c>
      <c r="B51" s="16" t="s">
        <v>436</v>
      </c>
      <c r="C51" s="16" t="s">
        <v>435</v>
      </c>
      <c r="D51" s="16" t="s">
        <v>561</v>
      </c>
      <c r="E51" s="16" t="s">
        <v>825</v>
      </c>
      <c r="F51" s="16" t="s">
        <v>561</v>
      </c>
    </row>
    <row r="52" spans="1:6" x14ac:dyDescent="0.25">
      <c r="A52" s="16" t="s">
        <v>562</v>
      </c>
      <c r="B52" s="16" t="s">
        <v>564</v>
      </c>
      <c r="C52" s="16" t="s">
        <v>563</v>
      </c>
      <c r="D52" s="16" t="s">
        <v>266</v>
      </c>
      <c r="E52" s="16" t="s">
        <v>236</v>
      </c>
      <c r="F52" s="16" t="s">
        <v>266</v>
      </c>
    </row>
    <row r="53" spans="1:6" x14ac:dyDescent="0.25">
      <c r="A53" s="16" t="s">
        <v>565</v>
      </c>
      <c r="B53" s="16" t="s">
        <v>567</v>
      </c>
      <c r="C53" s="16" t="s">
        <v>566</v>
      </c>
      <c r="D53" s="16" t="s">
        <v>568</v>
      </c>
      <c r="E53" s="16" t="s">
        <v>277</v>
      </c>
      <c r="F53" s="16" t="s">
        <v>568</v>
      </c>
    </row>
    <row r="54" spans="1:6" x14ac:dyDescent="0.25">
      <c r="A54" s="16" t="s">
        <v>569</v>
      </c>
      <c r="B54" s="16" t="s">
        <v>571</v>
      </c>
      <c r="C54" s="16" t="s">
        <v>570</v>
      </c>
      <c r="D54" s="16" t="s">
        <v>572</v>
      </c>
      <c r="E54" s="16" t="s">
        <v>716</v>
      </c>
      <c r="F54" s="16" t="s">
        <v>572</v>
      </c>
    </row>
    <row r="55" spans="1:6" x14ac:dyDescent="0.25">
      <c r="A55" s="16" t="s">
        <v>573</v>
      </c>
      <c r="B55" s="16" t="s">
        <v>575</v>
      </c>
      <c r="C55" s="16" t="s">
        <v>574</v>
      </c>
      <c r="D55" s="16" t="s">
        <v>576</v>
      </c>
      <c r="E55" s="16" t="s">
        <v>1037</v>
      </c>
      <c r="F55" s="16" t="s">
        <v>576</v>
      </c>
    </row>
    <row r="56" spans="1:6" x14ac:dyDescent="0.25">
      <c r="A56" s="16" t="s">
        <v>577</v>
      </c>
      <c r="B56" s="16" t="s">
        <v>579</v>
      </c>
      <c r="C56" s="16" t="s">
        <v>578</v>
      </c>
      <c r="D56" s="16" t="s">
        <v>2164</v>
      </c>
      <c r="E56" s="16" t="s">
        <v>222</v>
      </c>
      <c r="F56" s="16" t="s">
        <v>2164</v>
      </c>
    </row>
    <row r="57" spans="1:6" x14ac:dyDescent="0.25">
      <c r="A57" s="16" t="s">
        <v>580</v>
      </c>
      <c r="B57" s="16" t="s">
        <v>582</v>
      </c>
      <c r="C57" s="16" t="s">
        <v>581</v>
      </c>
      <c r="D57" s="16" t="s">
        <v>583</v>
      </c>
      <c r="E57" s="16"/>
      <c r="F57" s="16"/>
    </row>
    <row r="58" spans="1:6" x14ac:dyDescent="0.25">
      <c r="A58" s="16" t="s">
        <v>584</v>
      </c>
      <c r="B58" s="16" t="s">
        <v>586</v>
      </c>
      <c r="C58" s="16" t="s">
        <v>585</v>
      </c>
      <c r="D58" s="16" t="s">
        <v>311</v>
      </c>
      <c r="E58" s="16" t="s">
        <v>612</v>
      </c>
      <c r="F58" s="16" t="s">
        <v>311</v>
      </c>
    </row>
    <row r="59" spans="1:6" x14ac:dyDescent="0.25">
      <c r="A59" s="16" t="s">
        <v>587</v>
      </c>
      <c r="B59" s="16" t="s">
        <v>399</v>
      </c>
      <c r="C59" s="16" t="s">
        <v>398</v>
      </c>
      <c r="D59" s="16" t="s">
        <v>318</v>
      </c>
      <c r="E59" s="16" t="s">
        <v>518</v>
      </c>
      <c r="F59" s="16" t="s">
        <v>218</v>
      </c>
    </row>
    <row r="60" spans="1:6" x14ac:dyDescent="0.25">
      <c r="A60" s="16" t="s">
        <v>589</v>
      </c>
      <c r="B60" s="16" t="s">
        <v>591</v>
      </c>
      <c r="C60" s="16" t="s">
        <v>590</v>
      </c>
      <c r="D60" s="16" t="s">
        <v>277</v>
      </c>
      <c r="E60" s="16" t="s">
        <v>872</v>
      </c>
      <c r="F60" s="16" t="s">
        <v>412</v>
      </c>
    </row>
    <row r="61" spans="1:6" x14ac:dyDescent="0.25">
      <c r="A61" s="16" t="s">
        <v>592</v>
      </c>
      <c r="B61" s="16" t="s">
        <v>593</v>
      </c>
      <c r="C61" s="16" t="s">
        <v>233</v>
      </c>
      <c r="D61" s="16" t="s">
        <v>281</v>
      </c>
      <c r="E61" s="16" t="s">
        <v>877</v>
      </c>
      <c r="F61" s="16" t="s">
        <v>281</v>
      </c>
    </row>
    <row r="62" spans="1:6" x14ac:dyDescent="0.25">
      <c r="A62" s="16" t="s">
        <v>594</v>
      </c>
      <c r="B62" s="16" t="s">
        <v>596</v>
      </c>
      <c r="C62" s="16" t="s">
        <v>595</v>
      </c>
      <c r="D62" s="16" t="s">
        <v>294</v>
      </c>
      <c r="E62" s="16" t="s">
        <v>928</v>
      </c>
      <c r="F62" s="16" t="s">
        <v>597</v>
      </c>
    </row>
    <row r="63" spans="1:6" x14ac:dyDescent="0.25">
      <c r="A63" s="16" t="s">
        <v>598</v>
      </c>
      <c r="B63" s="16" t="s">
        <v>600</v>
      </c>
      <c r="C63" s="16" t="s">
        <v>599</v>
      </c>
      <c r="D63" s="16" t="s">
        <v>349</v>
      </c>
      <c r="E63" s="16" t="s">
        <v>353</v>
      </c>
      <c r="F63" s="16" t="s">
        <v>496</v>
      </c>
    </row>
    <row r="64" spans="1:6" x14ac:dyDescent="0.25">
      <c r="A64" s="16" t="s">
        <v>601</v>
      </c>
      <c r="B64" s="16" t="s">
        <v>603</v>
      </c>
      <c r="C64" s="16" t="s">
        <v>602</v>
      </c>
      <c r="D64" s="16" t="s">
        <v>604</v>
      </c>
      <c r="E64" s="16" t="s">
        <v>2165</v>
      </c>
      <c r="F64" s="16" t="s">
        <v>604</v>
      </c>
    </row>
    <row r="65" spans="1:6" x14ac:dyDescent="0.25">
      <c r="A65" s="16" t="s">
        <v>605</v>
      </c>
      <c r="B65" s="16" t="s">
        <v>607</v>
      </c>
      <c r="C65" s="16" t="s">
        <v>606</v>
      </c>
      <c r="D65" s="16" t="s">
        <v>608</v>
      </c>
      <c r="E65" s="16" t="s">
        <v>2166</v>
      </c>
      <c r="F65" s="16" t="s">
        <v>608</v>
      </c>
    </row>
    <row r="66" spans="1:6" x14ac:dyDescent="0.25">
      <c r="A66" s="16" t="s">
        <v>609</v>
      </c>
      <c r="B66" s="16" t="s">
        <v>611</v>
      </c>
      <c r="C66" s="16" t="s">
        <v>610</v>
      </c>
      <c r="D66" s="16" t="s">
        <v>612</v>
      </c>
      <c r="E66" s="16" t="s">
        <v>325</v>
      </c>
      <c r="F66" s="16" t="s">
        <v>612</v>
      </c>
    </row>
    <row r="67" spans="1:6" x14ac:dyDescent="0.25">
      <c r="A67" s="16" t="s">
        <v>613</v>
      </c>
      <c r="B67" s="16" t="s">
        <v>615</v>
      </c>
      <c r="C67" s="16" t="s">
        <v>614</v>
      </c>
      <c r="D67" s="16" t="s">
        <v>616</v>
      </c>
      <c r="E67" s="16" t="s">
        <v>996</v>
      </c>
      <c r="F67" s="16" t="s">
        <v>618</v>
      </c>
    </row>
    <row r="68" spans="1:6" x14ac:dyDescent="0.25">
      <c r="A68" s="16" t="s">
        <v>617</v>
      </c>
      <c r="B68" s="16" t="s">
        <v>615</v>
      </c>
      <c r="C68" s="16" t="s">
        <v>614</v>
      </c>
      <c r="D68" s="16" t="s">
        <v>618</v>
      </c>
      <c r="E68" s="16" t="s">
        <v>281</v>
      </c>
      <c r="F68" s="16" t="s">
        <v>616</v>
      </c>
    </row>
    <row r="69" spans="1:6" x14ac:dyDescent="0.25">
      <c r="A69" s="16" t="s">
        <v>619</v>
      </c>
      <c r="B69" s="16" t="s">
        <v>621</v>
      </c>
      <c r="C69" s="16" t="s">
        <v>620</v>
      </c>
      <c r="D69" s="16" t="s">
        <v>622</v>
      </c>
      <c r="E69" s="16" t="s">
        <v>441</v>
      </c>
      <c r="F69" s="16" t="s">
        <v>2167</v>
      </c>
    </row>
    <row r="70" spans="1:6" x14ac:dyDescent="0.25">
      <c r="A70" s="16" t="s">
        <v>623</v>
      </c>
      <c r="B70" s="16" t="s">
        <v>625</v>
      </c>
      <c r="C70" s="16" t="s">
        <v>624</v>
      </c>
      <c r="D70" s="16" t="s">
        <v>549</v>
      </c>
      <c r="E70" s="16" t="s">
        <v>445</v>
      </c>
      <c r="F70" s="16" t="s">
        <v>549</v>
      </c>
    </row>
    <row r="71" spans="1:6" x14ac:dyDescent="0.25">
      <c r="A71" s="16" t="s">
        <v>626</v>
      </c>
      <c r="B71" s="16" t="s">
        <v>627</v>
      </c>
      <c r="C71" s="16" t="s">
        <v>229</v>
      </c>
      <c r="D71" s="16" t="s">
        <v>412</v>
      </c>
      <c r="E71" s="16" t="s">
        <v>337</v>
      </c>
      <c r="F71" s="16" t="s">
        <v>2168</v>
      </c>
    </row>
    <row r="72" spans="1:6" x14ac:dyDescent="0.25">
      <c r="A72" s="16" t="s">
        <v>628</v>
      </c>
      <c r="B72" s="16" t="s">
        <v>630</v>
      </c>
      <c r="C72" s="16" t="s">
        <v>629</v>
      </c>
      <c r="D72" s="16" t="s">
        <v>320</v>
      </c>
      <c r="E72" s="16"/>
      <c r="F72" s="16"/>
    </row>
    <row r="73" spans="1:6" x14ac:dyDescent="0.25">
      <c r="A73" s="16" t="s">
        <v>631</v>
      </c>
      <c r="B73" s="16" t="s">
        <v>633</v>
      </c>
      <c r="C73" s="16" t="s">
        <v>632</v>
      </c>
      <c r="D73" s="16" t="s">
        <v>364</v>
      </c>
      <c r="E73" s="16" t="s">
        <v>373</v>
      </c>
      <c r="F73" s="16" t="s">
        <v>364</v>
      </c>
    </row>
    <row r="74" spans="1:6" x14ac:dyDescent="0.25">
      <c r="A74" s="16" t="s">
        <v>634</v>
      </c>
      <c r="B74" s="16" t="s">
        <v>636</v>
      </c>
      <c r="C74" s="16" t="s">
        <v>635</v>
      </c>
      <c r="D74" s="16" t="s">
        <v>637</v>
      </c>
      <c r="E74" s="16" t="s">
        <v>657</v>
      </c>
      <c r="F74" s="16" t="s">
        <v>637</v>
      </c>
    </row>
    <row r="75" spans="1:6" x14ac:dyDescent="0.25">
      <c r="A75" s="16" t="s">
        <v>638</v>
      </c>
      <c r="B75" s="16" t="s">
        <v>640</v>
      </c>
      <c r="C75" s="16" t="s">
        <v>639</v>
      </c>
      <c r="D75" s="16" t="s">
        <v>597</v>
      </c>
      <c r="E75" s="16" t="s">
        <v>743</v>
      </c>
      <c r="F75" s="16" t="s">
        <v>800</v>
      </c>
    </row>
    <row r="76" spans="1:6" x14ac:dyDescent="0.25">
      <c r="A76" s="16" t="s">
        <v>641</v>
      </c>
      <c r="B76" s="16" t="s">
        <v>643</v>
      </c>
      <c r="C76" s="16" t="s">
        <v>642</v>
      </c>
      <c r="D76" s="16" t="s">
        <v>358</v>
      </c>
      <c r="E76" s="16"/>
      <c r="F76" s="16"/>
    </row>
    <row r="77" spans="1:6" x14ac:dyDescent="0.25">
      <c r="A77" s="16" t="s">
        <v>644</v>
      </c>
      <c r="B77" s="16" t="s">
        <v>646</v>
      </c>
      <c r="C77" s="16" t="s">
        <v>645</v>
      </c>
      <c r="D77" s="16" t="s">
        <v>647</v>
      </c>
      <c r="E77" s="16"/>
      <c r="F77" s="16"/>
    </row>
    <row r="78" spans="1:6" x14ac:dyDescent="0.25">
      <c r="A78" s="16" t="s">
        <v>648</v>
      </c>
      <c r="B78" s="16" t="s">
        <v>2169</v>
      </c>
      <c r="C78" s="16" t="s">
        <v>649</v>
      </c>
      <c r="D78" s="16" t="s">
        <v>2161</v>
      </c>
      <c r="E78" s="16" t="s">
        <v>2170</v>
      </c>
      <c r="F78" s="16" t="s">
        <v>650</v>
      </c>
    </row>
    <row r="79" spans="1:6" x14ac:dyDescent="0.25">
      <c r="A79" s="16" t="s">
        <v>651</v>
      </c>
      <c r="B79" s="16" t="s">
        <v>653</v>
      </c>
      <c r="C79" s="16" t="s">
        <v>652</v>
      </c>
      <c r="D79" s="16" t="s">
        <v>2171</v>
      </c>
      <c r="E79" s="16" t="s">
        <v>661</v>
      </c>
      <c r="F79" s="16" t="s">
        <v>522</v>
      </c>
    </row>
    <row r="80" spans="1:6" x14ac:dyDescent="0.25">
      <c r="A80" s="16" t="s">
        <v>654</v>
      </c>
      <c r="B80" s="16" t="s">
        <v>656</v>
      </c>
      <c r="C80" s="16" t="s">
        <v>655</v>
      </c>
      <c r="D80" s="16" t="s">
        <v>1012</v>
      </c>
      <c r="E80" s="16" t="s">
        <v>2168</v>
      </c>
      <c r="F80" s="16" t="s">
        <v>1012</v>
      </c>
    </row>
    <row r="81" spans="1:6" x14ac:dyDescent="0.25">
      <c r="A81" s="16" t="s">
        <v>658</v>
      </c>
      <c r="B81" s="16" t="s">
        <v>660</v>
      </c>
      <c r="C81" s="16" t="s">
        <v>659</v>
      </c>
      <c r="D81" s="16" t="s">
        <v>343</v>
      </c>
      <c r="E81" s="16" t="s">
        <v>926</v>
      </c>
      <c r="F81" s="16" t="s">
        <v>906</v>
      </c>
    </row>
    <row r="82" spans="1:6" x14ac:dyDescent="0.25">
      <c r="A82" s="16" t="s">
        <v>662</v>
      </c>
      <c r="B82" s="16" t="s">
        <v>664</v>
      </c>
      <c r="C82" s="16" t="s">
        <v>663</v>
      </c>
      <c r="D82" s="16" t="s">
        <v>665</v>
      </c>
      <c r="E82" s="16" t="s">
        <v>2172</v>
      </c>
      <c r="F82" s="16" t="s">
        <v>665</v>
      </c>
    </row>
    <row r="83" spans="1:6" x14ac:dyDescent="0.25">
      <c r="A83" s="16" t="s">
        <v>666</v>
      </c>
      <c r="B83" s="16" t="s">
        <v>668</v>
      </c>
      <c r="C83" s="16" t="s">
        <v>667</v>
      </c>
      <c r="D83" s="16" t="s">
        <v>559</v>
      </c>
      <c r="E83" s="16" t="s">
        <v>1002</v>
      </c>
      <c r="F83" s="16" t="s">
        <v>559</v>
      </c>
    </row>
    <row r="84" spans="1:6" x14ac:dyDescent="0.25">
      <c r="A84" s="16" t="s">
        <v>670</v>
      </c>
      <c r="B84" s="16" t="s">
        <v>672</v>
      </c>
      <c r="C84" s="16" t="s">
        <v>671</v>
      </c>
      <c r="D84" s="16" t="s">
        <v>262</v>
      </c>
      <c r="E84" s="16" t="s">
        <v>622</v>
      </c>
      <c r="F84" s="16" t="s">
        <v>1037</v>
      </c>
    </row>
    <row r="85" spans="1:6" x14ac:dyDescent="0.25">
      <c r="A85" s="16" t="s">
        <v>674</v>
      </c>
      <c r="B85" s="16" t="s">
        <v>676</v>
      </c>
      <c r="C85" s="16" t="s">
        <v>675</v>
      </c>
      <c r="D85" s="16" t="s">
        <v>396</v>
      </c>
      <c r="E85" s="16"/>
      <c r="F85" s="16"/>
    </row>
    <row r="86" spans="1:6" x14ac:dyDescent="0.25">
      <c r="A86" s="16" t="s">
        <v>677</v>
      </c>
      <c r="B86" s="16" t="s">
        <v>679</v>
      </c>
      <c r="C86" s="16" t="s">
        <v>678</v>
      </c>
      <c r="D86" s="16" t="s">
        <v>680</v>
      </c>
      <c r="E86" s="16" t="s">
        <v>804</v>
      </c>
      <c r="F86" s="16" t="s">
        <v>2123</v>
      </c>
    </row>
    <row r="87" spans="1:6" x14ac:dyDescent="0.25">
      <c r="A87" s="16" t="s">
        <v>681</v>
      </c>
      <c r="B87" s="16" t="s">
        <v>683</v>
      </c>
      <c r="C87" s="16" t="s">
        <v>682</v>
      </c>
      <c r="D87" s="16" t="s">
        <v>906</v>
      </c>
      <c r="E87" s="16" t="s">
        <v>869</v>
      </c>
      <c r="F87" s="16" t="s">
        <v>918</v>
      </c>
    </row>
    <row r="88" spans="1:6" x14ac:dyDescent="0.25">
      <c r="A88" s="16" t="s">
        <v>684</v>
      </c>
      <c r="B88" s="16" t="s">
        <v>548</v>
      </c>
      <c r="C88" s="16" t="s">
        <v>547</v>
      </c>
      <c r="D88" s="16" t="s">
        <v>333</v>
      </c>
      <c r="E88" s="16" t="s">
        <v>1004</v>
      </c>
      <c r="F88" s="16" t="s">
        <v>819</v>
      </c>
    </row>
    <row r="89" spans="1:6" x14ac:dyDescent="0.25">
      <c r="A89" s="16" t="s">
        <v>685</v>
      </c>
      <c r="B89" s="16" t="s">
        <v>686</v>
      </c>
      <c r="C89" s="16" t="s">
        <v>215</v>
      </c>
      <c r="D89" s="16" t="s">
        <v>14</v>
      </c>
      <c r="E89" s="16" t="s">
        <v>14</v>
      </c>
      <c r="F89" s="16" t="s">
        <v>14</v>
      </c>
    </row>
    <row r="90" spans="1:6" x14ac:dyDescent="0.25">
      <c r="A90" s="16" t="s">
        <v>687</v>
      </c>
      <c r="B90" s="16" t="s">
        <v>689</v>
      </c>
      <c r="C90" s="16" t="s">
        <v>688</v>
      </c>
      <c r="D90" s="16" t="s">
        <v>690</v>
      </c>
      <c r="E90" s="16" t="s">
        <v>240</v>
      </c>
      <c r="F90" s="16" t="s">
        <v>690</v>
      </c>
    </row>
    <row r="91" spans="1:6" x14ac:dyDescent="0.25">
      <c r="A91" s="16" t="s">
        <v>691</v>
      </c>
      <c r="B91" s="16" t="s">
        <v>693</v>
      </c>
      <c r="C91" s="16" t="s">
        <v>692</v>
      </c>
      <c r="D91" s="16" t="s">
        <v>282</v>
      </c>
      <c r="E91" s="16" t="s">
        <v>218</v>
      </c>
      <c r="F91" s="16" t="s">
        <v>351</v>
      </c>
    </row>
    <row r="92" spans="1:6" x14ac:dyDescent="0.25">
      <c r="A92" s="16" t="s">
        <v>694</v>
      </c>
      <c r="B92" s="16" t="s">
        <v>548</v>
      </c>
      <c r="C92" s="16" t="s">
        <v>547</v>
      </c>
      <c r="D92" s="16" t="s">
        <v>331</v>
      </c>
      <c r="E92" s="16" t="s">
        <v>214</v>
      </c>
      <c r="F92" s="16" t="s">
        <v>2173</v>
      </c>
    </row>
    <row r="93" spans="1:6" x14ac:dyDescent="0.25">
      <c r="A93" s="16" t="s">
        <v>695</v>
      </c>
      <c r="B93" s="16" t="s">
        <v>697</v>
      </c>
      <c r="C93" s="16" t="s">
        <v>696</v>
      </c>
      <c r="D93" s="16" t="s">
        <v>338</v>
      </c>
      <c r="E93" s="16" t="s">
        <v>2159</v>
      </c>
      <c r="F93" s="16" t="s">
        <v>338</v>
      </c>
    </row>
    <row r="94" spans="1:6" x14ac:dyDescent="0.25">
      <c r="A94" s="16" t="s">
        <v>699</v>
      </c>
      <c r="B94" s="16" t="s">
        <v>701</v>
      </c>
      <c r="C94" s="16" t="s">
        <v>700</v>
      </c>
      <c r="D94" s="16" t="s">
        <v>702</v>
      </c>
      <c r="E94" s="16" t="s">
        <v>2105</v>
      </c>
      <c r="F94" s="16" t="s">
        <v>702</v>
      </c>
    </row>
    <row r="95" spans="1:6" x14ac:dyDescent="0.25">
      <c r="A95" s="16" t="s">
        <v>703</v>
      </c>
      <c r="B95" s="16" t="s">
        <v>705</v>
      </c>
      <c r="C95" s="16" t="s">
        <v>704</v>
      </c>
      <c r="D95" s="16" t="s">
        <v>706</v>
      </c>
      <c r="E95" s="16" t="s">
        <v>885</v>
      </c>
      <c r="F95" s="16" t="s">
        <v>706</v>
      </c>
    </row>
    <row r="96" spans="1:6" x14ac:dyDescent="0.25">
      <c r="A96" s="16" t="s">
        <v>707</v>
      </c>
      <c r="B96" s="16" t="s">
        <v>708</v>
      </c>
      <c r="C96" s="16" t="s">
        <v>232</v>
      </c>
      <c r="D96" s="16" t="s">
        <v>709</v>
      </c>
      <c r="E96" s="16" t="s">
        <v>2174</v>
      </c>
      <c r="F96" s="16" t="s">
        <v>709</v>
      </c>
    </row>
    <row r="97" spans="1:6" x14ac:dyDescent="0.25">
      <c r="A97" s="16" t="s">
        <v>710</v>
      </c>
      <c r="B97" s="16" t="s">
        <v>712</v>
      </c>
      <c r="C97" s="16" t="s">
        <v>711</v>
      </c>
      <c r="D97" s="16" t="s">
        <v>329</v>
      </c>
      <c r="E97" s="16" t="s">
        <v>223</v>
      </c>
      <c r="F97" s="16" t="s">
        <v>329</v>
      </c>
    </row>
    <row r="98" spans="1:6" x14ac:dyDescent="0.25">
      <c r="A98" s="16" t="s">
        <v>713</v>
      </c>
      <c r="B98" s="16" t="s">
        <v>715</v>
      </c>
      <c r="C98" s="16" t="s">
        <v>714</v>
      </c>
      <c r="D98" s="16" t="s">
        <v>716</v>
      </c>
      <c r="E98" s="16" t="s">
        <v>293</v>
      </c>
      <c r="F98" s="16" t="s">
        <v>716</v>
      </c>
    </row>
    <row r="99" spans="1:6" x14ac:dyDescent="0.25">
      <c r="A99" s="16" t="s">
        <v>717</v>
      </c>
      <c r="B99" s="16" t="s">
        <v>719</v>
      </c>
      <c r="C99" s="16" t="s">
        <v>718</v>
      </c>
      <c r="D99" s="16" t="s">
        <v>299</v>
      </c>
      <c r="E99" s="16"/>
      <c r="F99" s="16"/>
    </row>
    <row r="100" spans="1:6" x14ac:dyDescent="0.25">
      <c r="A100" s="16" t="s">
        <v>720</v>
      </c>
      <c r="B100" s="16" t="s">
        <v>722</v>
      </c>
      <c r="C100" s="16" t="s">
        <v>721</v>
      </c>
      <c r="D100" s="16" t="s">
        <v>236</v>
      </c>
      <c r="E100" s="16" t="s">
        <v>262</v>
      </c>
      <c r="F100" s="16" t="s">
        <v>236</v>
      </c>
    </row>
    <row r="101" spans="1:6" x14ac:dyDescent="0.25">
      <c r="A101" s="16" t="s">
        <v>723</v>
      </c>
      <c r="B101" s="16" t="s">
        <v>215</v>
      </c>
      <c r="C101" s="16" t="s">
        <v>724</v>
      </c>
      <c r="D101" s="16" t="s">
        <v>725</v>
      </c>
      <c r="E101" s="16" t="s">
        <v>292</v>
      </c>
      <c r="F101" s="16" t="s">
        <v>725</v>
      </c>
    </row>
    <row r="102" spans="1:6" x14ac:dyDescent="0.25">
      <c r="A102" s="16" t="s">
        <v>726</v>
      </c>
      <c r="B102" s="16" t="s">
        <v>728</v>
      </c>
      <c r="C102" s="16" t="s">
        <v>727</v>
      </c>
      <c r="D102" s="16" t="s">
        <v>729</v>
      </c>
      <c r="E102" s="16" t="s">
        <v>217</v>
      </c>
      <c r="F102" s="16" t="s">
        <v>729</v>
      </c>
    </row>
    <row r="103" spans="1:6" x14ac:dyDescent="0.25">
      <c r="A103" s="16" t="s">
        <v>730</v>
      </c>
      <c r="B103" s="16" t="s">
        <v>732</v>
      </c>
      <c r="C103" s="16" t="s">
        <v>731</v>
      </c>
      <c r="D103" s="16" t="s">
        <v>733</v>
      </c>
      <c r="E103" s="16" t="s">
        <v>604</v>
      </c>
      <c r="F103" s="16" t="s">
        <v>334</v>
      </c>
    </row>
    <row r="104" spans="1:6" x14ac:dyDescent="0.25">
      <c r="A104" s="16" t="s">
        <v>734</v>
      </c>
      <c r="B104" s="16" t="s">
        <v>736</v>
      </c>
      <c r="C104" s="16" t="s">
        <v>735</v>
      </c>
      <c r="D104" s="16" t="s">
        <v>225</v>
      </c>
      <c r="E104" s="16" t="s">
        <v>792</v>
      </c>
      <c r="F104" s="16" t="s">
        <v>511</v>
      </c>
    </row>
    <row r="105" spans="1:6" x14ac:dyDescent="0.25">
      <c r="A105" s="16" t="s">
        <v>737</v>
      </c>
      <c r="B105" s="16" t="s">
        <v>738</v>
      </c>
      <c r="C105" s="16" t="s">
        <v>298</v>
      </c>
      <c r="D105" s="16" t="s">
        <v>14</v>
      </c>
      <c r="E105" s="16" t="s">
        <v>2175</v>
      </c>
      <c r="F105" s="16" t="s">
        <v>433</v>
      </c>
    </row>
    <row r="106" spans="1:6" x14ac:dyDescent="0.25">
      <c r="A106" s="16" t="s">
        <v>739</v>
      </c>
      <c r="B106" s="16" t="s">
        <v>741</v>
      </c>
      <c r="C106" s="16" t="s">
        <v>740</v>
      </c>
      <c r="D106" s="16" t="s">
        <v>261</v>
      </c>
      <c r="E106" s="16" t="s">
        <v>344</v>
      </c>
      <c r="F106" s="16" t="s">
        <v>261</v>
      </c>
    </row>
    <row r="107" spans="1:6" x14ac:dyDescent="0.25">
      <c r="A107" s="16" t="s">
        <v>742</v>
      </c>
      <c r="B107" s="16" t="s">
        <v>567</v>
      </c>
      <c r="C107" s="16" t="s">
        <v>566</v>
      </c>
      <c r="D107" s="16" t="s">
        <v>743</v>
      </c>
      <c r="E107" s="16" t="s">
        <v>981</v>
      </c>
      <c r="F107" s="16" t="s">
        <v>743</v>
      </c>
    </row>
    <row r="108" spans="1:6" x14ac:dyDescent="0.25">
      <c r="A108" s="16" t="s">
        <v>744</v>
      </c>
      <c r="B108" s="16" t="s">
        <v>746</v>
      </c>
      <c r="C108" s="16" t="s">
        <v>745</v>
      </c>
      <c r="D108" s="16" t="s">
        <v>747</v>
      </c>
      <c r="E108" s="16" t="s">
        <v>462</v>
      </c>
      <c r="F108" s="16" t="s">
        <v>747</v>
      </c>
    </row>
    <row r="109" spans="1:6" x14ac:dyDescent="0.25">
      <c r="A109" s="16" t="s">
        <v>748</v>
      </c>
      <c r="B109" s="16" t="s">
        <v>750</v>
      </c>
      <c r="C109" s="16" t="s">
        <v>749</v>
      </c>
      <c r="D109" s="16" t="s">
        <v>2105</v>
      </c>
      <c r="E109" s="16" t="s">
        <v>332</v>
      </c>
      <c r="F109" s="16" t="s">
        <v>2105</v>
      </c>
    </row>
    <row r="110" spans="1:6" x14ac:dyDescent="0.25">
      <c r="A110" s="16" t="s">
        <v>752</v>
      </c>
      <c r="B110" s="16" t="s">
        <v>754</v>
      </c>
      <c r="C110" s="16" t="s">
        <v>753</v>
      </c>
      <c r="D110" s="16" t="s">
        <v>755</v>
      </c>
      <c r="E110" s="16" t="s">
        <v>525</v>
      </c>
      <c r="F110" s="16" t="s">
        <v>755</v>
      </c>
    </row>
    <row r="111" spans="1:6" x14ac:dyDescent="0.25">
      <c r="A111" s="16" t="s">
        <v>756</v>
      </c>
      <c r="B111" s="16" t="s">
        <v>758</v>
      </c>
      <c r="C111" s="16" t="s">
        <v>757</v>
      </c>
      <c r="D111" s="16" t="s">
        <v>759</v>
      </c>
      <c r="E111" s="16" t="s">
        <v>433</v>
      </c>
      <c r="F111" s="16" t="s">
        <v>759</v>
      </c>
    </row>
    <row r="112" spans="1:6" x14ac:dyDescent="0.25">
      <c r="A112" s="16" t="s">
        <v>760</v>
      </c>
      <c r="B112" s="16" t="s">
        <v>762</v>
      </c>
      <c r="C112" s="16" t="s">
        <v>761</v>
      </c>
      <c r="D112" s="16" t="s">
        <v>763</v>
      </c>
      <c r="E112" s="16" t="s">
        <v>823</v>
      </c>
      <c r="F112" s="16" t="s">
        <v>647</v>
      </c>
    </row>
    <row r="113" spans="1:6" x14ac:dyDescent="0.25">
      <c r="A113" s="16" t="s">
        <v>764</v>
      </c>
      <c r="B113" s="16" t="s">
        <v>621</v>
      </c>
      <c r="C113" s="16" t="s">
        <v>620</v>
      </c>
      <c r="D113" s="16" t="s">
        <v>315</v>
      </c>
      <c r="E113" s="16" t="s">
        <v>474</v>
      </c>
      <c r="F113" s="16" t="s">
        <v>315</v>
      </c>
    </row>
    <row r="114" spans="1:6" x14ac:dyDescent="0.25">
      <c r="A114" s="16" t="s">
        <v>765</v>
      </c>
      <c r="B114" s="16" t="s">
        <v>767</v>
      </c>
      <c r="C114" s="16" t="s">
        <v>766</v>
      </c>
      <c r="D114" s="16" t="s">
        <v>423</v>
      </c>
      <c r="E114" s="16" t="s">
        <v>576</v>
      </c>
      <c r="F114" s="16" t="s">
        <v>698</v>
      </c>
    </row>
    <row r="115" spans="1:6" x14ac:dyDescent="0.25">
      <c r="A115" s="16" t="s">
        <v>768</v>
      </c>
      <c r="B115" s="16" t="s">
        <v>770</v>
      </c>
      <c r="C115" s="16" t="s">
        <v>769</v>
      </c>
      <c r="D115" s="16" t="s">
        <v>341</v>
      </c>
      <c r="E115" s="16" t="s">
        <v>2176</v>
      </c>
      <c r="F115" s="16" t="s">
        <v>897</v>
      </c>
    </row>
    <row r="116" spans="1:6" x14ac:dyDescent="0.25">
      <c r="A116" s="16" t="s">
        <v>771</v>
      </c>
      <c r="B116" s="16" t="s">
        <v>773</v>
      </c>
      <c r="C116" s="16" t="s">
        <v>772</v>
      </c>
      <c r="D116" s="16" t="s">
        <v>295</v>
      </c>
      <c r="E116" s="16" t="s">
        <v>336</v>
      </c>
      <c r="F116" s="16" t="s">
        <v>295</v>
      </c>
    </row>
    <row r="117" spans="1:6" x14ac:dyDescent="0.25">
      <c r="A117" s="16" t="s">
        <v>774</v>
      </c>
      <c r="B117" s="16" t="s">
        <v>776</v>
      </c>
      <c r="C117" s="16" t="s">
        <v>775</v>
      </c>
      <c r="D117" s="16" t="s">
        <v>388</v>
      </c>
      <c r="E117" s="16" t="s">
        <v>273</v>
      </c>
      <c r="F117" s="16" t="s">
        <v>227</v>
      </c>
    </row>
    <row r="118" spans="1:6" x14ac:dyDescent="0.25">
      <c r="A118" s="16" t="s">
        <v>777</v>
      </c>
      <c r="B118" s="16" t="s">
        <v>779</v>
      </c>
      <c r="C118" s="16" t="s">
        <v>778</v>
      </c>
      <c r="D118" s="16" t="s">
        <v>227</v>
      </c>
      <c r="E118" s="16"/>
      <c r="F118" s="16"/>
    </row>
    <row r="119" spans="1:6" x14ac:dyDescent="0.25">
      <c r="A119" s="16" t="s">
        <v>780</v>
      </c>
      <c r="B119" s="16" t="s">
        <v>782</v>
      </c>
      <c r="C119" s="16" t="s">
        <v>781</v>
      </c>
      <c r="D119" s="16" t="s">
        <v>783</v>
      </c>
      <c r="E119" s="16" t="s">
        <v>2164</v>
      </c>
      <c r="F119" s="16" t="s">
        <v>783</v>
      </c>
    </row>
    <row r="120" spans="1:6" x14ac:dyDescent="0.25">
      <c r="A120" s="16" t="s">
        <v>784</v>
      </c>
      <c r="B120" s="16" t="s">
        <v>782</v>
      </c>
      <c r="C120" s="16" t="s">
        <v>781</v>
      </c>
      <c r="D120" s="16" t="s">
        <v>785</v>
      </c>
      <c r="E120" s="16" t="s">
        <v>335</v>
      </c>
      <c r="F120" s="16" t="s">
        <v>2177</v>
      </c>
    </row>
    <row r="121" spans="1:6" x14ac:dyDescent="0.25">
      <c r="A121" s="16" t="s">
        <v>786</v>
      </c>
      <c r="B121" s="16" t="s">
        <v>788</v>
      </c>
      <c r="C121" s="16" t="s">
        <v>787</v>
      </c>
      <c r="D121" s="16" t="s">
        <v>373</v>
      </c>
      <c r="E121" s="16" t="s">
        <v>853</v>
      </c>
      <c r="F121" s="16" t="s">
        <v>373</v>
      </c>
    </row>
    <row r="122" spans="1:6" x14ac:dyDescent="0.25">
      <c r="A122" s="16" t="s">
        <v>789</v>
      </c>
      <c r="B122" s="16" t="s">
        <v>791</v>
      </c>
      <c r="C122" s="16" t="s">
        <v>790</v>
      </c>
      <c r="D122" s="16" t="s">
        <v>792</v>
      </c>
      <c r="E122" s="16" t="s">
        <v>2178</v>
      </c>
      <c r="F122" s="16" t="s">
        <v>353</v>
      </c>
    </row>
    <row r="123" spans="1:6" x14ac:dyDescent="0.25">
      <c r="A123" s="16" t="s">
        <v>793</v>
      </c>
      <c r="B123" s="16" t="s">
        <v>795</v>
      </c>
      <c r="C123" s="16" t="s">
        <v>794</v>
      </c>
      <c r="D123" s="16" t="s">
        <v>796</v>
      </c>
      <c r="E123" s="16" t="s">
        <v>310</v>
      </c>
      <c r="F123" s="16" t="s">
        <v>222</v>
      </c>
    </row>
    <row r="124" spans="1:6" x14ac:dyDescent="0.25">
      <c r="A124" s="16" t="s">
        <v>797</v>
      </c>
      <c r="B124" s="16" t="s">
        <v>799</v>
      </c>
      <c r="C124" s="16" t="s">
        <v>798</v>
      </c>
      <c r="D124" s="16" t="s">
        <v>800</v>
      </c>
      <c r="E124" s="16" t="s">
        <v>568</v>
      </c>
      <c r="F124" s="16" t="s">
        <v>926</v>
      </c>
    </row>
    <row r="125" spans="1:6" x14ac:dyDescent="0.25">
      <c r="A125" s="16" t="s">
        <v>801</v>
      </c>
      <c r="B125" s="16" t="s">
        <v>803</v>
      </c>
      <c r="C125" s="16" t="s">
        <v>802</v>
      </c>
      <c r="D125" s="16" t="s">
        <v>14</v>
      </c>
      <c r="E125" s="16" t="s">
        <v>2179</v>
      </c>
      <c r="F125" s="16" t="s">
        <v>804</v>
      </c>
    </row>
    <row r="126" spans="1:6" x14ac:dyDescent="0.25">
      <c r="A126" s="16" t="s">
        <v>805</v>
      </c>
      <c r="B126" s="16" t="s">
        <v>807</v>
      </c>
      <c r="C126" s="16" t="s">
        <v>806</v>
      </c>
      <c r="D126" s="16" t="s">
        <v>808</v>
      </c>
      <c r="E126" s="16" t="s">
        <v>2180</v>
      </c>
      <c r="F126" s="16" t="s">
        <v>808</v>
      </c>
    </row>
    <row r="127" spans="1:6" x14ac:dyDescent="0.25">
      <c r="A127" s="16" t="s">
        <v>809</v>
      </c>
      <c r="B127" s="16" t="s">
        <v>810</v>
      </c>
      <c r="C127" s="16" t="s">
        <v>588</v>
      </c>
      <c r="D127" s="16" t="s">
        <v>319</v>
      </c>
      <c r="E127" s="16" t="s">
        <v>690</v>
      </c>
      <c r="F127" s="16" t="s">
        <v>319</v>
      </c>
    </row>
    <row r="128" spans="1:6" x14ac:dyDescent="0.25">
      <c r="A128" s="16" t="s">
        <v>811</v>
      </c>
      <c r="B128" s="16" t="s">
        <v>813</v>
      </c>
      <c r="C128" s="16" t="s">
        <v>812</v>
      </c>
      <c r="D128" s="16" t="s">
        <v>814</v>
      </c>
      <c r="E128" s="16" t="s">
        <v>729</v>
      </c>
      <c r="F128" s="16" t="s">
        <v>814</v>
      </c>
    </row>
    <row r="129" spans="1:6" x14ac:dyDescent="0.25">
      <c r="A129" s="16" t="s">
        <v>815</v>
      </c>
      <c r="B129" s="16" t="s">
        <v>510</v>
      </c>
      <c r="C129" s="16" t="s">
        <v>509</v>
      </c>
      <c r="D129" s="16" t="s">
        <v>680</v>
      </c>
      <c r="E129" s="16" t="s">
        <v>1065</v>
      </c>
      <c r="F129" s="16" t="s">
        <v>2181</v>
      </c>
    </row>
    <row r="130" spans="1:6" x14ac:dyDescent="0.25">
      <c r="A130" s="16" t="s">
        <v>816</v>
      </c>
      <c r="B130" s="16" t="s">
        <v>818</v>
      </c>
      <c r="C130" s="16" t="s">
        <v>817</v>
      </c>
      <c r="D130" s="16" t="s">
        <v>819</v>
      </c>
      <c r="E130" s="16" t="s">
        <v>858</v>
      </c>
      <c r="F130" s="16" t="s">
        <v>331</v>
      </c>
    </row>
    <row r="131" spans="1:6" x14ac:dyDescent="0.25">
      <c r="A131" s="16" t="s">
        <v>820</v>
      </c>
      <c r="B131" s="16" t="s">
        <v>822</v>
      </c>
      <c r="C131" s="16" t="s">
        <v>821</v>
      </c>
      <c r="D131" s="16" t="s">
        <v>823</v>
      </c>
      <c r="E131" s="16" t="s">
        <v>597</v>
      </c>
      <c r="F131" s="16" t="s">
        <v>343</v>
      </c>
    </row>
    <row r="132" spans="1:6" x14ac:dyDescent="0.25">
      <c r="A132" s="16" t="s">
        <v>824</v>
      </c>
      <c r="B132" s="16" t="s">
        <v>359</v>
      </c>
      <c r="C132" s="16" t="s">
        <v>231</v>
      </c>
      <c r="D132" s="16" t="s">
        <v>825</v>
      </c>
      <c r="E132" s="16" t="s">
        <v>496</v>
      </c>
      <c r="F132" s="16" t="s">
        <v>872</v>
      </c>
    </row>
    <row r="133" spans="1:6" x14ac:dyDescent="0.25">
      <c r="A133" s="16" t="s">
        <v>826</v>
      </c>
      <c r="B133" s="16" t="s">
        <v>828</v>
      </c>
      <c r="C133" s="16" t="s">
        <v>827</v>
      </c>
      <c r="D133" s="16" t="s">
        <v>829</v>
      </c>
      <c r="E133" s="16" t="s">
        <v>2182</v>
      </c>
      <c r="F133" s="16" t="s">
        <v>829</v>
      </c>
    </row>
    <row r="134" spans="1:6" x14ac:dyDescent="0.25">
      <c r="A134" s="16" t="s">
        <v>830</v>
      </c>
      <c r="B134" s="16" t="s">
        <v>776</v>
      </c>
      <c r="C134" s="16" t="s">
        <v>775</v>
      </c>
      <c r="D134" s="16" t="s">
        <v>225</v>
      </c>
      <c r="E134" s="16"/>
      <c r="F134" s="16"/>
    </row>
    <row r="135" spans="1:6" x14ac:dyDescent="0.25">
      <c r="A135" s="16" t="s">
        <v>831</v>
      </c>
      <c r="B135" s="16" t="s">
        <v>832</v>
      </c>
      <c r="C135" s="16" t="s">
        <v>1056</v>
      </c>
      <c r="D135" s="16" t="s">
        <v>230</v>
      </c>
      <c r="E135" s="16" t="s">
        <v>2183</v>
      </c>
      <c r="F135" s="16" t="s">
        <v>1069</v>
      </c>
    </row>
    <row r="136" spans="1:6" x14ac:dyDescent="0.25">
      <c r="A136" s="16" t="s">
        <v>1889</v>
      </c>
      <c r="B136" s="16" t="s">
        <v>835</v>
      </c>
      <c r="C136" s="16" t="s">
        <v>834</v>
      </c>
      <c r="D136" s="16" t="s">
        <v>332</v>
      </c>
      <c r="E136" s="16" t="s">
        <v>333</v>
      </c>
      <c r="F136" s="16" t="s">
        <v>332</v>
      </c>
    </row>
    <row r="137" spans="1:6" x14ac:dyDescent="0.25">
      <c r="A137" s="16" t="s">
        <v>836</v>
      </c>
      <c r="B137" s="16" t="s">
        <v>838</v>
      </c>
      <c r="C137" s="16" t="s">
        <v>837</v>
      </c>
      <c r="D137" s="16" t="s">
        <v>839</v>
      </c>
      <c r="E137" s="16" t="s">
        <v>583</v>
      </c>
      <c r="F137" s="16" t="s">
        <v>277</v>
      </c>
    </row>
    <row r="138" spans="1:6" x14ac:dyDescent="0.25">
      <c r="A138" s="16" t="s">
        <v>840</v>
      </c>
      <c r="B138" s="16" t="s">
        <v>842</v>
      </c>
      <c r="C138" s="16" t="s">
        <v>841</v>
      </c>
      <c r="D138" s="16" t="s">
        <v>340</v>
      </c>
      <c r="E138" s="16"/>
      <c r="F138" s="16"/>
    </row>
    <row r="139" spans="1:6" x14ac:dyDescent="0.25">
      <c r="A139" s="16" t="s">
        <v>843</v>
      </c>
      <c r="B139" s="16" t="s">
        <v>845</v>
      </c>
      <c r="C139" s="16" t="s">
        <v>844</v>
      </c>
      <c r="D139" s="16" t="s">
        <v>500</v>
      </c>
      <c r="E139" s="16" t="s">
        <v>2184</v>
      </c>
      <c r="F139" s="16" t="s">
        <v>500</v>
      </c>
    </row>
    <row r="140" spans="1:6" x14ac:dyDescent="0.25">
      <c r="A140" s="16" t="s">
        <v>846</v>
      </c>
      <c r="B140" s="16" t="s">
        <v>848</v>
      </c>
      <c r="C140" s="16" t="s">
        <v>847</v>
      </c>
      <c r="D140" s="16" t="s">
        <v>336</v>
      </c>
      <c r="E140" s="16" t="s">
        <v>220</v>
      </c>
      <c r="F140" s="16" t="s">
        <v>336</v>
      </c>
    </row>
    <row r="141" spans="1:6" x14ac:dyDescent="0.25">
      <c r="A141" s="16" t="s">
        <v>849</v>
      </c>
      <c r="B141" s="16" t="s">
        <v>851</v>
      </c>
      <c r="C141" s="16" t="s">
        <v>850</v>
      </c>
      <c r="D141" s="16" t="s">
        <v>222</v>
      </c>
      <c r="E141" s="16" t="s">
        <v>295</v>
      </c>
      <c r="F141" s="16" t="s">
        <v>853</v>
      </c>
    </row>
    <row r="142" spans="1:6" x14ac:dyDescent="0.25">
      <c r="A142" s="16" t="s">
        <v>852</v>
      </c>
      <c r="B142" s="16" t="s">
        <v>448</v>
      </c>
      <c r="C142" s="16" t="s">
        <v>447</v>
      </c>
      <c r="D142" s="16" t="s">
        <v>853</v>
      </c>
      <c r="E142" s="16" t="s">
        <v>796</v>
      </c>
      <c r="F142" s="16" t="s">
        <v>335</v>
      </c>
    </row>
    <row r="143" spans="1:6" x14ac:dyDescent="0.25">
      <c r="A143" s="16" t="s">
        <v>854</v>
      </c>
      <c r="B143" s="16" t="s">
        <v>415</v>
      </c>
      <c r="C143" s="16" t="s">
        <v>414</v>
      </c>
      <c r="D143" s="16" t="s">
        <v>350</v>
      </c>
      <c r="E143" s="16"/>
      <c r="F143" s="16"/>
    </row>
    <row r="144" spans="1:6" x14ac:dyDescent="0.25">
      <c r="A144" s="16" t="s">
        <v>855</v>
      </c>
      <c r="B144" s="16" t="s">
        <v>857</v>
      </c>
      <c r="C144" s="16" t="s">
        <v>856</v>
      </c>
      <c r="D144" s="16" t="s">
        <v>858</v>
      </c>
      <c r="E144" s="16" t="s">
        <v>1073</v>
      </c>
      <c r="F144" s="16" t="s">
        <v>858</v>
      </c>
    </row>
    <row r="145" spans="1:6" x14ac:dyDescent="0.25">
      <c r="A145" s="16" t="s">
        <v>859</v>
      </c>
      <c r="B145" s="16" t="s">
        <v>861</v>
      </c>
      <c r="C145" s="16" t="s">
        <v>860</v>
      </c>
      <c r="D145" s="16" t="s">
        <v>862</v>
      </c>
      <c r="E145" s="16" t="s">
        <v>2181</v>
      </c>
      <c r="F145" s="16" t="s">
        <v>2185</v>
      </c>
    </row>
    <row r="146" spans="1:6" x14ac:dyDescent="0.25">
      <c r="A146" s="16" t="s">
        <v>863</v>
      </c>
      <c r="B146" s="16" t="s">
        <v>865</v>
      </c>
      <c r="C146" s="16" t="s">
        <v>864</v>
      </c>
      <c r="D146" s="16" t="s">
        <v>330</v>
      </c>
      <c r="E146" s="16" t="s">
        <v>1028</v>
      </c>
      <c r="F146" s="16" t="s">
        <v>330</v>
      </c>
    </row>
    <row r="147" spans="1:6" x14ac:dyDescent="0.25">
      <c r="A147" s="16" t="s">
        <v>866</v>
      </c>
      <c r="B147" s="16" t="s">
        <v>868</v>
      </c>
      <c r="C147" s="16" t="s">
        <v>867</v>
      </c>
      <c r="D147" s="16" t="s">
        <v>869</v>
      </c>
      <c r="E147" s="16" t="s">
        <v>1054</v>
      </c>
      <c r="F147" s="16" t="s">
        <v>869</v>
      </c>
    </row>
    <row r="148" spans="1:6" x14ac:dyDescent="0.25">
      <c r="A148" s="16" t="s">
        <v>870</v>
      </c>
      <c r="B148" s="16" t="s">
        <v>309</v>
      </c>
      <c r="C148" s="16" t="s">
        <v>871</v>
      </c>
      <c r="D148" s="16" t="s">
        <v>872</v>
      </c>
      <c r="E148" s="16" t="s">
        <v>349</v>
      </c>
      <c r="F148" s="16" t="s">
        <v>337</v>
      </c>
    </row>
    <row r="149" spans="1:6" x14ac:dyDescent="0.25">
      <c r="A149" s="16" t="s">
        <v>873</v>
      </c>
      <c r="B149" s="16" t="s">
        <v>656</v>
      </c>
      <c r="C149" s="16" t="s">
        <v>655</v>
      </c>
      <c r="D149" s="16" t="s">
        <v>657</v>
      </c>
      <c r="E149" s="16" t="s">
        <v>839</v>
      </c>
      <c r="F149" s="16" t="s">
        <v>657</v>
      </c>
    </row>
    <row r="150" spans="1:6" x14ac:dyDescent="0.25">
      <c r="A150" s="16" t="s">
        <v>874</v>
      </c>
      <c r="B150" s="16" t="s">
        <v>876</v>
      </c>
      <c r="C150" s="16" t="s">
        <v>875</v>
      </c>
      <c r="D150" s="16" t="s">
        <v>877</v>
      </c>
      <c r="E150" s="16" t="s">
        <v>992</v>
      </c>
      <c r="F150" s="16" t="s">
        <v>877</v>
      </c>
    </row>
    <row r="151" spans="1:6" x14ac:dyDescent="0.25">
      <c r="A151" s="16" t="s">
        <v>878</v>
      </c>
      <c r="B151" s="16" t="s">
        <v>880</v>
      </c>
      <c r="C151" s="16" t="s">
        <v>879</v>
      </c>
      <c r="D151" s="16" t="s">
        <v>881</v>
      </c>
      <c r="E151" s="16" t="s">
        <v>500</v>
      </c>
      <c r="F151" s="16" t="s">
        <v>881</v>
      </c>
    </row>
    <row r="152" spans="1:6" x14ac:dyDescent="0.25">
      <c r="A152" s="16" t="s">
        <v>882</v>
      </c>
      <c r="B152" s="16" t="s">
        <v>884</v>
      </c>
      <c r="C152" s="16" t="s">
        <v>883</v>
      </c>
      <c r="D152" s="16" t="s">
        <v>885</v>
      </c>
      <c r="E152" s="16" t="s">
        <v>889</v>
      </c>
      <c r="F152" s="16" t="s">
        <v>885</v>
      </c>
    </row>
    <row r="153" spans="1:6" x14ac:dyDescent="0.25">
      <c r="A153" s="16" t="s">
        <v>886</v>
      </c>
      <c r="B153" s="16" t="s">
        <v>888</v>
      </c>
      <c r="C153" s="16" t="s">
        <v>887</v>
      </c>
      <c r="D153" s="16" t="s">
        <v>889</v>
      </c>
      <c r="E153" s="16" t="s">
        <v>2173</v>
      </c>
      <c r="F153" s="16" t="s">
        <v>889</v>
      </c>
    </row>
    <row r="154" spans="1:6" x14ac:dyDescent="0.25">
      <c r="A154" s="16" t="s">
        <v>890</v>
      </c>
      <c r="B154" s="16" t="s">
        <v>558</v>
      </c>
      <c r="C154" s="16" t="s">
        <v>245</v>
      </c>
      <c r="D154" s="16" t="s">
        <v>334</v>
      </c>
      <c r="E154" s="16" t="s">
        <v>1069</v>
      </c>
      <c r="F154" s="16" t="s">
        <v>985</v>
      </c>
    </row>
    <row r="155" spans="1:6" x14ac:dyDescent="0.25">
      <c r="A155" s="16" t="s">
        <v>891</v>
      </c>
      <c r="B155" s="16" t="s">
        <v>893</v>
      </c>
      <c r="C155" s="16" t="s">
        <v>892</v>
      </c>
      <c r="D155" s="16" t="s">
        <v>216</v>
      </c>
      <c r="E155" s="16" t="s">
        <v>549</v>
      </c>
      <c r="F155" s="16" t="s">
        <v>216</v>
      </c>
    </row>
    <row r="156" spans="1:6" x14ac:dyDescent="0.25">
      <c r="A156" s="16" t="s">
        <v>894</v>
      </c>
      <c r="B156" s="16" t="s">
        <v>896</v>
      </c>
      <c r="C156" s="16" t="s">
        <v>895</v>
      </c>
      <c r="D156" s="16" t="s">
        <v>897</v>
      </c>
      <c r="E156" s="16"/>
      <c r="F156" s="16"/>
    </row>
    <row r="157" spans="1:6" x14ac:dyDescent="0.25">
      <c r="A157" s="16" t="s">
        <v>898</v>
      </c>
      <c r="B157" s="16" t="s">
        <v>643</v>
      </c>
      <c r="C157" s="16" t="s">
        <v>642</v>
      </c>
      <c r="D157" s="16" t="s">
        <v>899</v>
      </c>
      <c r="E157" s="16" t="s">
        <v>324</v>
      </c>
      <c r="F157" s="16" t="s">
        <v>358</v>
      </c>
    </row>
    <row r="158" spans="1:6" x14ac:dyDescent="0.25">
      <c r="A158" s="16" t="s">
        <v>900</v>
      </c>
      <c r="B158" s="16" t="s">
        <v>902</v>
      </c>
      <c r="C158" s="16" t="s">
        <v>901</v>
      </c>
      <c r="D158" s="16" t="s">
        <v>351</v>
      </c>
      <c r="E158" s="16" t="s">
        <v>318</v>
      </c>
      <c r="F158" s="16" t="s">
        <v>316</v>
      </c>
    </row>
    <row r="159" spans="1:6" x14ac:dyDescent="0.25">
      <c r="A159" s="16" t="s">
        <v>903</v>
      </c>
      <c r="B159" s="16" t="s">
        <v>905</v>
      </c>
      <c r="C159" s="16" t="s">
        <v>904</v>
      </c>
      <c r="D159" s="16" t="s">
        <v>906</v>
      </c>
      <c r="E159" s="16" t="s">
        <v>637</v>
      </c>
      <c r="F159" s="16" t="s">
        <v>1045</v>
      </c>
    </row>
    <row r="160" spans="1:6" x14ac:dyDescent="0.25">
      <c r="A160" s="16" t="s">
        <v>907</v>
      </c>
      <c r="B160" s="16" t="s">
        <v>767</v>
      </c>
      <c r="C160" s="16" t="s">
        <v>766</v>
      </c>
      <c r="D160" s="16" t="s">
        <v>698</v>
      </c>
      <c r="E160" s="16"/>
      <c r="F160" s="16"/>
    </row>
    <row r="161" spans="1:6" x14ac:dyDescent="0.25">
      <c r="A161" s="16" t="s">
        <v>908</v>
      </c>
      <c r="B161" s="16" t="s">
        <v>910</v>
      </c>
      <c r="C161" s="16" t="s">
        <v>909</v>
      </c>
      <c r="D161" s="16" t="s">
        <v>14</v>
      </c>
      <c r="E161" s="16" t="s">
        <v>219</v>
      </c>
      <c r="F161" s="16" t="s">
        <v>911</v>
      </c>
    </row>
    <row r="162" spans="1:6" x14ac:dyDescent="0.25">
      <c r="A162" s="16" t="s">
        <v>912</v>
      </c>
      <c r="B162" s="16" t="s">
        <v>913</v>
      </c>
      <c r="C162" s="16" t="s">
        <v>242</v>
      </c>
      <c r="D162" s="16" t="s">
        <v>914</v>
      </c>
      <c r="E162" s="16" t="s">
        <v>783</v>
      </c>
      <c r="F162" s="16" t="s">
        <v>273</v>
      </c>
    </row>
    <row r="163" spans="1:6" x14ac:dyDescent="0.25">
      <c r="A163" s="16" t="s">
        <v>915</v>
      </c>
      <c r="B163" s="16" t="s">
        <v>917</v>
      </c>
      <c r="C163" s="16" t="s">
        <v>916</v>
      </c>
      <c r="D163" s="16" t="s">
        <v>918</v>
      </c>
      <c r="E163" s="16" t="s">
        <v>294</v>
      </c>
      <c r="F163" s="16" t="s">
        <v>2176</v>
      </c>
    </row>
    <row r="164" spans="1:6" x14ac:dyDescent="0.25">
      <c r="A164" s="16" t="s">
        <v>919</v>
      </c>
      <c r="B164" s="16" t="s">
        <v>921</v>
      </c>
      <c r="C164" s="16" t="s">
        <v>920</v>
      </c>
      <c r="D164" s="16" t="s">
        <v>922</v>
      </c>
      <c r="E164" s="16" t="s">
        <v>1012</v>
      </c>
      <c r="F164" s="16" t="s">
        <v>922</v>
      </c>
    </row>
    <row r="165" spans="1:6" x14ac:dyDescent="0.25">
      <c r="A165" s="16" t="s">
        <v>923</v>
      </c>
      <c r="B165" s="16" t="s">
        <v>925</v>
      </c>
      <c r="C165" s="16" t="s">
        <v>924</v>
      </c>
      <c r="D165" s="16" t="s">
        <v>926</v>
      </c>
      <c r="E165" s="16"/>
      <c r="F165" s="16"/>
    </row>
    <row r="166" spans="1:6" x14ac:dyDescent="0.25">
      <c r="A166" s="16" t="s">
        <v>927</v>
      </c>
      <c r="B166" s="16" t="s">
        <v>868</v>
      </c>
      <c r="C166" s="16" t="s">
        <v>867</v>
      </c>
      <c r="D166" s="16" t="s">
        <v>294</v>
      </c>
      <c r="E166" s="16" t="s">
        <v>785</v>
      </c>
      <c r="F166" s="16" t="s">
        <v>2186</v>
      </c>
    </row>
    <row r="167" spans="1:6" x14ac:dyDescent="0.25">
      <c r="A167" s="16" t="s">
        <v>929</v>
      </c>
      <c r="B167" s="16" t="s">
        <v>931</v>
      </c>
      <c r="C167" s="16" t="s">
        <v>930</v>
      </c>
      <c r="D167" s="16" t="s">
        <v>327</v>
      </c>
      <c r="E167" s="16" t="s">
        <v>241</v>
      </c>
      <c r="F167" s="16" t="s">
        <v>327</v>
      </c>
    </row>
    <row r="168" spans="1:6" x14ac:dyDescent="0.25">
      <c r="A168" s="16" t="s">
        <v>932</v>
      </c>
      <c r="B168" s="16" t="s">
        <v>934</v>
      </c>
      <c r="C168" s="16" t="s">
        <v>933</v>
      </c>
      <c r="D168" s="16" t="s">
        <v>337</v>
      </c>
      <c r="E168" s="16" t="s">
        <v>396</v>
      </c>
      <c r="F168" s="16" t="s">
        <v>2161</v>
      </c>
    </row>
    <row r="169" spans="1:6" x14ac:dyDescent="0.25">
      <c r="A169" s="16" t="s">
        <v>935</v>
      </c>
      <c r="B169" s="16" t="s">
        <v>937</v>
      </c>
      <c r="C169" s="16" t="s">
        <v>936</v>
      </c>
      <c r="D169" s="16" t="s">
        <v>938</v>
      </c>
      <c r="E169" s="16" t="s">
        <v>665</v>
      </c>
      <c r="F169" s="16" t="s">
        <v>938</v>
      </c>
    </row>
    <row r="170" spans="1:6" x14ac:dyDescent="0.25">
      <c r="A170" s="16" t="s">
        <v>939</v>
      </c>
      <c r="B170" s="16" t="s">
        <v>941</v>
      </c>
      <c r="C170" s="16" t="s">
        <v>940</v>
      </c>
      <c r="D170" s="16" t="s">
        <v>240</v>
      </c>
      <c r="E170" s="16"/>
      <c r="F170" s="16"/>
    </row>
    <row r="171" spans="1:6" x14ac:dyDescent="0.25">
      <c r="A171" s="16" t="s">
        <v>942</v>
      </c>
      <c r="B171" s="16" t="s">
        <v>943</v>
      </c>
      <c r="C171" s="16" t="s">
        <v>235</v>
      </c>
      <c r="D171" s="16" t="s">
        <v>751</v>
      </c>
      <c r="E171" s="16" t="s">
        <v>261</v>
      </c>
      <c r="F171" s="16" t="s">
        <v>751</v>
      </c>
    </row>
    <row r="172" spans="1:6" x14ac:dyDescent="0.25">
      <c r="A172" s="16" t="s">
        <v>944</v>
      </c>
      <c r="B172" s="16" t="s">
        <v>945</v>
      </c>
      <c r="C172" s="16" t="s">
        <v>228</v>
      </c>
      <c r="D172" s="16" t="s">
        <v>946</v>
      </c>
      <c r="E172" s="16" t="s">
        <v>680</v>
      </c>
      <c r="F172" s="16" t="s">
        <v>862</v>
      </c>
    </row>
    <row r="173" spans="1:6" x14ac:dyDescent="0.25">
      <c r="A173" s="16" t="s">
        <v>947</v>
      </c>
      <c r="B173" s="16" t="s">
        <v>948</v>
      </c>
      <c r="C173" s="16" t="s">
        <v>410</v>
      </c>
      <c r="D173" s="16" t="s">
        <v>949</v>
      </c>
      <c r="E173" s="16" t="s">
        <v>650</v>
      </c>
      <c r="F173" s="16" t="s">
        <v>839</v>
      </c>
    </row>
    <row r="174" spans="1:6" x14ac:dyDescent="0.25">
      <c r="A174" s="16" t="s">
        <v>950</v>
      </c>
      <c r="B174" s="16" t="s">
        <v>952</v>
      </c>
      <c r="C174" s="16" t="s">
        <v>951</v>
      </c>
      <c r="D174" s="16" t="s">
        <v>219</v>
      </c>
      <c r="E174" s="16" t="s">
        <v>881</v>
      </c>
      <c r="F174" s="16" t="s">
        <v>339</v>
      </c>
    </row>
    <row r="175" spans="1:6" x14ac:dyDescent="0.25">
      <c r="A175" s="16" t="s">
        <v>953</v>
      </c>
      <c r="B175" s="16" t="s">
        <v>954</v>
      </c>
      <c r="C175" s="16" t="s">
        <v>212</v>
      </c>
      <c r="D175" s="16" t="s">
        <v>955</v>
      </c>
      <c r="E175" s="16" t="s">
        <v>2187</v>
      </c>
      <c r="F175" s="16" t="s">
        <v>955</v>
      </c>
    </row>
    <row r="176" spans="1:6" x14ac:dyDescent="0.25">
      <c r="A176" s="16" t="s">
        <v>956</v>
      </c>
      <c r="B176" s="16" t="s">
        <v>958</v>
      </c>
      <c r="C176" s="16" t="s">
        <v>957</v>
      </c>
      <c r="D176" s="16" t="s">
        <v>14</v>
      </c>
      <c r="E176" s="16" t="s">
        <v>922</v>
      </c>
      <c r="F176" s="16" t="s">
        <v>823</v>
      </c>
    </row>
    <row r="177" spans="1:6" x14ac:dyDescent="0.25">
      <c r="A177" s="16" t="s">
        <v>959</v>
      </c>
      <c r="B177" s="16" t="s">
        <v>961</v>
      </c>
      <c r="C177" s="16" t="s">
        <v>960</v>
      </c>
      <c r="D177" s="16" t="s">
        <v>962</v>
      </c>
      <c r="E177" s="16" t="s">
        <v>669</v>
      </c>
      <c r="F177" s="16" t="s">
        <v>583</v>
      </c>
    </row>
    <row r="178" spans="1:6" x14ac:dyDescent="0.25">
      <c r="A178" s="16" t="s">
        <v>963</v>
      </c>
      <c r="B178" s="16" t="s">
        <v>965</v>
      </c>
      <c r="C178" s="16" t="s">
        <v>964</v>
      </c>
      <c r="D178" s="16" t="s">
        <v>217</v>
      </c>
      <c r="E178" s="16" t="s">
        <v>698</v>
      </c>
      <c r="F178" s="16" t="s">
        <v>217</v>
      </c>
    </row>
    <row r="179" spans="1:6" x14ac:dyDescent="0.25">
      <c r="A179" s="16" t="s">
        <v>966</v>
      </c>
      <c r="B179" s="16" t="s">
        <v>488</v>
      </c>
      <c r="C179" s="16" t="s">
        <v>487</v>
      </c>
      <c r="D179" s="16" t="s">
        <v>342</v>
      </c>
      <c r="E179" s="16" t="s">
        <v>511</v>
      </c>
      <c r="F179" s="16" t="s">
        <v>825</v>
      </c>
    </row>
    <row r="180" spans="1:6" x14ac:dyDescent="0.25">
      <c r="A180" s="16" t="s">
        <v>967</v>
      </c>
      <c r="B180" s="16" t="s">
        <v>968</v>
      </c>
      <c r="C180" s="16" t="s">
        <v>213</v>
      </c>
      <c r="D180" s="16" t="s">
        <v>321</v>
      </c>
      <c r="E180" s="16" t="s">
        <v>321</v>
      </c>
      <c r="F180" s="16" t="s">
        <v>321</v>
      </c>
    </row>
    <row r="181" spans="1:6" x14ac:dyDescent="0.25">
      <c r="A181" s="16" t="s">
        <v>969</v>
      </c>
      <c r="B181" s="16" t="s">
        <v>971</v>
      </c>
      <c r="C181" s="16" t="s">
        <v>970</v>
      </c>
      <c r="D181" s="16" t="s">
        <v>972</v>
      </c>
      <c r="E181" s="16" t="s">
        <v>2188</v>
      </c>
      <c r="F181" s="16" t="s">
        <v>972</v>
      </c>
    </row>
    <row r="182" spans="1:6" x14ac:dyDescent="0.25">
      <c r="A182" s="16" t="s">
        <v>973</v>
      </c>
      <c r="B182" s="16" t="s">
        <v>975</v>
      </c>
      <c r="C182" s="16" t="s">
        <v>974</v>
      </c>
      <c r="D182" s="16" t="s">
        <v>221</v>
      </c>
      <c r="E182" s="16" t="s">
        <v>2177</v>
      </c>
      <c r="F182" s="16" t="s">
        <v>221</v>
      </c>
    </row>
    <row r="183" spans="1:6" x14ac:dyDescent="0.25">
      <c r="A183" s="16" t="s">
        <v>1890</v>
      </c>
      <c r="B183" s="16" t="s">
        <v>977</v>
      </c>
      <c r="C183" s="16" t="s">
        <v>976</v>
      </c>
      <c r="D183" s="16" t="s">
        <v>348</v>
      </c>
      <c r="E183" s="16" t="s">
        <v>347</v>
      </c>
      <c r="F183" s="16" t="s">
        <v>348</v>
      </c>
    </row>
    <row r="184" spans="1:6" x14ac:dyDescent="0.25">
      <c r="A184" s="16" t="s">
        <v>978</v>
      </c>
      <c r="B184" s="16" t="s">
        <v>980</v>
      </c>
      <c r="C184" s="16" t="s">
        <v>979</v>
      </c>
      <c r="D184" s="16" t="s">
        <v>981</v>
      </c>
      <c r="E184" s="16" t="s">
        <v>962</v>
      </c>
      <c r="F184" s="16" t="s">
        <v>946</v>
      </c>
    </row>
    <row r="185" spans="1:6" x14ac:dyDescent="0.25">
      <c r="A185" s="16" t="s">
        <v>982</v>
      </c>
      <c r="B185" s="16" t="s">
        <v>984</v>
      </c>
      <c r="C185" s="16" t="s">
        <v>983</v>
      </c>
      <c r="D185" s="16" t="s">
        <v>985</v>
      </c>
      <c r="E185" s="16" t="s">
        <v>833</v>
      </c>
      <c r="F185" s="16" t="s">
        <v>669</v>
      </c>
    </row>
    <row r="186" spans="1:6" x14ac:dyDescent="0.25">
      <c r="A186" s="16" t="s">
        <v>986</v>
      </c>
      <c r="B186" s="16" t="s">
        <v>988</v>
      </c>
      <c r="C186" s="16" t="s">
        <v>987</v>
      </c>
      <c r="D186" s="16" t="s">
        <v>347</v>
      </c>
      <c r="E186" s="16" t="s">
        <v>316</v>
      </c>
      <c r="F186" s="16" t="s">
        <v>347</v>
      </c>
    </row>
    <row r="187" spans="1:6" x14ac:dyDescent="0.25">
      <c r="A187" s="16" t="s">
        <v>989</v>
      </c>
      <c r="B187" s="16" t="s">
        <v>991</v>
      </c>
      <c r="C187" s="16" t="s">
        <v>990</v>
      </c>
      <c r="D187" s="16" t="s">
        <v>992</v>
      </c>
      <c r="E187" s="16" t="s">
        <v>350</v>
      </c>
      <c r="F187" s="16" t="s">
        <v>992</v>
      </c>
    </row>
    <row r="188" spans="1:6" x14ac:dyDescent="0.25">
      <c r="A188" s="16" t="s">
        <v>993</v>
      </c>
      <c r="B188" s="16" t="s">
        <v>995</v>
      </c>
      <c r="C188" s="16" t="s">
        <v>994</v>
      </c>
      <c r="D188" s="16" t="s">
        <v>996</v>
      </c>
      <c r="E188" s="16" t="s">
        <v>348</v>
      </c>
      <c r="F188" s="16" t="s">
        <v>996</v>
      </c>
    </row>
    <row r="189" spans="1:6" x14ac:dyDescent="0.25">
      <c r="A189" s="16" t="s">
        <v>997</v>
      </c>
      <c r="B189" s="16" t="s">
        <v>999</v>
      </c>
      <c r="C189" s="16" t="s">
        <v>998</v>
      </c>
      <c r="D189" s="16" t="s">
        <v>325</v>
      </c>
      <c r="E189" s="16" t="s">
        <v>216</v>
      </c>
      <c r="F189" s="16" t="s">
        <v>325</v>
      </c>
    </row>
    <row r="190" spans="1:6" x14ac:dyDescent="0.25">
      <c r="A190" s="16" t="s">
        <v>1000</v>
      </c>
      <c r="B190" s="16" t="s">
        <v>1001</v>
      </c>
      <c r="C190" s="16" t="s">
        <v>237</v>
      </c>
      <c r="D190" s="16" t="s">
        <v>1002</v>
      </c>
      <c r="E190" s="16" t="s">
        <v>2189</v>
      </c>
      <c r="F190" s="16" t="s">
        <v>1002</v>
      </c>
    </row>
    <row r="191" spans="1:6" x14ac:dyDescent="0.25">
      <c r="A191" s="16" t="s">
        <v>1003</v>
      </c>
      <c r="B191" s="16" t="s">
        <v>586</v>
      </c>
      <c r="C191" s="16" t="s">
        <v>585</v>
      </c>
      <c r="D191" s="16" t="s">
        <v>1004</v>
      </c>
      <c r="E191" s="16" t="s">
        <v>419</v>
      </c>
      <c r="F191" s="16" t="s">
        <v>1004</v>
      </c>
    </row>
    <row r="192" spans="1:6" x14ac:dyDescent="0.25">
      <c r="A192" s="16" t="s">
        <v>1005</v>
      </c>
      <c r="B192" s="16" t="s">
        <v>1007</v>
      </c>
      <c r="C192" s="16" t="s">
        <v>1006</v>
      </c>
      <c r="D192" s="16" t="s">
        <v>1008</v>
      </c>
      <c r="E192" s="16" t="s">
        <v>503</v>
      </c>
      <c r="F192" s="16" t="s">
        <v>1008</v>
      </c>
    </row>
    <row r="193" spans="1:6" x14ac:dyDescent="0.25">
      <c r="A193" s="16" t="s">
        <v>1009</v>
      </c>
      <c r="B193" s="16" t="s">
        <v>1011</v>
      </c>
      <c r="C193" s="16" t="s">
        <v>1010</v>
      </c>
      <c r="D193" s="16" t="s">
        <v>1012</v>
      </c>
      <c r="E193" s="16" t="s">
        <v>561</v>
      </c>
      <c r="F193" s="16" t="s">
        <v>294</v>
      </c>
    </row>
    <row r="194" spans="1:6" x14ac:dyDescent="0.25">
      <c r="A194" s="16" t="s">
        <v>1013</v>
      </c>
      <c r="B194" s="16" t="s">
        <v>1015</v>
      </c>
      <c r="C194" s="16" t="s">
        <v>1014</v>
      </c>
      <c r="D194" s="16" t="s">
        <v>785</v>
      </c>
      <c r="E194" s="16" t="s">
        <v>946</v>
      </c>
      <c r="F194" s="16" t="s">
        <v>785</v>
      </c>
    </row>
    <row r="195" spans="1:6" x14ac:dyDescent="0.25">
      <c r="A195" s="16" t="s">
        <v>1016</v>
      </c>
      <c r="B195" s="16" t="s">
        <v>1018</v>
      </c>
      <c r="C195" s="16" t="s">
        <v>1017</v>
      </c>
      <c r="D195" s="16" t="s">
        <v>341</v>
      </c>
      <c r="E195" s="16" t="s">
        <v>918</v>
      </c>
      <c r="F195" s="16" t="s">
        <v>341</v>
      </c>
    </row>
    <row r="196" spans="1:6" x14ac:dyDescent="0.25">
      <c r="A196" s="16" t="s">
        <v>1019</v>
      </c>
      <c r="B196" s="16" t="s">
        <v>1021</v>
      </c>
      <c r="C196" s="16" t="s">
        <v>1020</v>
      </c>
      <c r="D196" s="16" t="s">
        <v>306</v>
      </c>
      <c r="E196" s="16" t="s">
        <v>485</v>
      </c>
      <c r="F196" s="16" t="s">
        <v>306</v>
      </c>
    </row>
    <row r="197" spans="1:6" x14ac:dyDescent="0.25">
      <c r="A197" s="16" t="s">
        <v>1022</v>
      </c>
      <c r="B197" s="16" t="s">
        <v>1024</v>
      </c>
      <c r="C197" s="16" t="s">
        <v>1023</v>
      </c>
      <c r="D197" s="16" t="s">
        <v>219</v>
      </c>
      <c r="E197" s="16" t="s">
        <v>339</v>
      </c>
      <c r="F197" s="16" t="s">
        <v>219</v>
      </c>
    </row>
    <row r="198" spans="1:6" x14ac:dyDescent="0.25">
      <c r="A198" s="16" t="s">
        <v>1025</v>
      </c>
      <c r="B198" s="16" t="s">
        <v>1027</v>
      </c>
      <c r="C198" s="16" t="s">
        <v>1026</v>
      </c>
      <c r="D198" s="16" t="s">
        <v>1028</v>
      </c>
      <c r="E198" s="16" t="s">
        <v>225</v>
      </c>
      <c r="F198" s="16" t="s">
        <v>1028</v>
      </c>
    </row>
    <row r="199" spans="1:6" x14ac:dyDescent="0.25">
      <c r="A199" s="16" t="s">
        <v>1029</v>
      </c>
      <c r="B199" s="16" t="s">
        <v>1031</v>
      </c>
      <c r="C199" s="16" t="s">
        <v>1030</v>
      </c>
      <c r="D199" s="16" t="s">
        <v>316</v>
      </c>
      <c r="E199" s="16" t="s">
        <v>911</v>
      </c>
      <c r="F199" s="16" t="s">
        <v>282</v>
      </c>
    </row>
    <row r="200" spans="1:6" x14ac:dyDescent="0.25">
      <c r="A200" s="16" t="s">
        <v>1032</v>
      </c>
      <c r="B200" s="16" t="s">
        <v>1034</v>
      </c>
      <c r="C200" s="16" t="s">
        <v>1033</v>
      </c>
      <c r="D200" s="16" t="s">
        <v>1035</v>
      </c>
      <c r="E200" s="16" t="s">
        <v>2167</v>
      </c>
      <c r="F200" s="16" t="s">
        <v>1035</v>
      </c>
    </row>
    <row r="201" spans="1:6" x14ac:dyDescent="0.25">
      <c r="A201" s="16" t="s">
        <v>1036</v>
      </c>
      <c r="B201" s="16" t="s">
        <v>575</v>
      </c>
      <c r="C201" s="16" t="s">
        <v>574</v>
      </c>
      <c r="D201" s="16" t="s">
        <v>1037</v>
      </c>
      <c r="E201" s="16" t="s">
        <v>1035</v>
      </c>
      <c r="F201" s="16" t="s">
        <v>673</v>
      </c>
    </row>
    <row r="202" spans="1:6" x14ac:dyDescent="0.25">
      <c r="A202" s="16" t="s">
        <v>1038</v>
      </c>
      <c r="B202" s="16" t="s">
        <v>746</v>
      </c>
      <c r="C202" s="16" t="s">
        <v>745</v>
      </c>
      <c r="D202" s="16" t="s">
        <v>622</v>
      </c>
      <c r="E202" s="16" t="s">
        <v>458</v>
      </c>
      <c r="F202" s="16" t="s">
        <v>622</v>
      </c>
    </row>
    <row r="203" spans="1:6" x14ac:dyDescent="0.25">
      <c r="A203" s="16" t="s">
        <v>1039</v>
      </c>
      <c r="B203" s="16" t="s">
        <v>1031</v>
      </c>
      <c r="C203" s="16" t="s">
        <v>1030</v>
      </c>
      <c r="D203" s="16" t="s">
        <v>350</v>
      </c>
      <c r="E203" s="16" t="s">
        <v>282</v>
      </c>
      <c r="F203" s="16" t="s">
        <v>350</v>
      </c>
    </row>
    <row r="204" spans="1:6" x14ac:dyDescent="0.25">
      <c r="A204" s="16" t="s">
        <v>1040</v>
      </c>
      <c r="B204" s="16" t="s">
        <v>1042</v>
      </c>
      <c r="C204" s="16" t="s">
        <v>1041</v>
      </c>
      <c r="D204" s="16" t="s">
        <v>380</v>
      </c>
      <c r="E204" s="16" t="s">
        <v>306</v>
      </c>
      <c r="F204" s="16" t="s">
        <v>380</v>
      </c>
    </row>
    <row r="205" spans="1:6" x14ac:dyDescent="0.25">
      <c r="A205" s="16" t="s">
        <v>1892</v>
      </c>
      <c r="B205" s="16" t="s">
        <v>1044</v>
      </c>
      <c r="C205" s="16" t="s">
        <v>1043</v>
      </c>
      <c r="D205" s="16" t="s">
        <v>1045</v>
      </c>
      <c r="E205" s="16" t="s">
        <v>800</v>
      </c>
      <c r="F205" s="16" t="s">
        <v>661</v>
      </c>
    </row>
    <row r="206" spans="1:6" x14ac:dyDescent="0.25">
      <c r="A206" s="16" t="s">
        <v>1046</v>
      </c>
      <c r="B206" s="16" t="s">
        <v>531</v>
      </c>
      <c r="C206" s="16" t="s">
        <v>530</v>
      </c>
      <c r="D206" s="16" t="s">
        <v>238</v>
      </c>
      <c r="E206" s="16" t="s">
        <v>538</v>
      </c>
      <c r="F206" s="16" t="s">
        <v>239</v>
      </c>
    </row>
    <row r="207" spans="1:6" x14ac:dyDescent="0.25">
      <c r="A207" s="16" t="s">
        <v>1047</v>
      </c>
      <c r="B207" s="16" t="s">
        <v>1048</v>
      </c>
      <c r="C207" s="16" t="s">
        <v>234</v>
      </c>
      <c r="D207" s="16" t="s">
        <v>324</v>
      </c>
      <c r="E207" s="16" t="s">
        <v>914</v>
      </c>
      <c r="F207" s="16" t="s">
        <v>324</v>
      </c>
    </row>
    <row r="208" spans="1:6" x14ac:dyDescent="0.25">
      <c r="A208" s="16" t="s">
        <v>1049</v>
      </c>
      <c r="B208" s="16" t="s">
        <v>1051</v>
      </c>
      <c r="C208" s="16" t="s">
        <v>1050</v>
      </c>
      <c r="D208" s="16" t="s">
        <v>344</v>
      </c>
      <c r="E208" s="16" t="s">
        <v>331</v>
      </c>
      <c r="F208" s="16" t="s">
        <v>344</v>
      </c>
    </row>
    <row r="209" spans="1:6" x14ac:dyDescent="0.25">
      <c r="A209" s="16" t="s">
        <v>1052</v>
      </c>
      <c r="B209" s="16" t="s">
        <v>1053</v>
      </c>
      <c r="C209" s="16" t="s">
        <v>226</v>
      </c>
      <c r="D209" s="16" t="s">
        <v>1054</v>
      </c>
      <c r="E209" s="16" t="s">
        <v>2185</v>
      </c>
      <c r="F209" s="16" t="s">
        <v>1054</v>
      </c>
    </row>
    <row r="210" spans="1:6" x14ac:dyDescent="0.25">
      <c r="A210" s="16" t="s">
        <v>1055</v>
      </c>
      <c r="B210" s="16" t="s">
        <v>1057</v>
      </c>
      <c r="C210" s="16" t="s">
        <v>2190</v>
      </c>
      <c r="D210" s="16" t="s">
        <v>833</v>
      </c>
      <c r="E210" s="16" t="s">
        <v>2191</v>
      </c>
      <c r="F210" s="16" t="s">
        <v>230</v>
      </c>
    </row>
    <row r="211" spans="1:6" x14ac:dyDescent="0.25">
      <c r="A211" s="16" t="s">
        <v>1058</v>
      </c>
      <c r="B211" s="16" t="s">
        <v>1060</v>
      </c>
      <c r="C211" s="16" t="s">
        <v>1059</v>
      </c>
      <c r="D211" s="16" t="s">
        <v>1061</v>
      </c>
      <c r="E211" s="16" t="s">
        <v>345</v>
      </c>
      <c r="F211" s="16" t="s">
        <v>1061</v>
      </c>
    </row>
    <row r="212" spans="1:6" x14ac:dyDescent="0.25">
      <c r="A212" s="16" t="s">
        <v>1062</v>
      </c>
      <c r="B212" s="16" t="s">
        <v>1064</v>
      </c>
      <c r="C212" s="16" t="s">
        <v>1063</v>
      </c>
      <c r="D212" s="16" t="s">
        <v>1065</v>
      </c>
      <c r="E212" s="16" t="s">
        <v>808</v>
      </c>
      <c r="F212" s="16" t="s">
        <v>1065</v>
      </c>
    </row>
    <row r="213" spans="1:6" x14ac:dyDescent="0.25">
      <c r="A213" s="16" t="s">
        <v>1066</v>
      </c>
      <c r="B213" s="16" t="s">
        <v>1068</v>
      </c>
      <c r="C213" s="16" t="s">
        <v>1067</v>
      </c>
      <c r="D213" s="16" t="s">
        <v>1069</v>
      </c>
      <c r="E213" s="16" t="s">
        <v>2192</v>
      </c>
      <c r="F213" s="16" t="s">
        <v>833</v>
      </c>
    </row>
    <row r="214" spans="1:6" x14ac:dyDescent="0.25">
      <c r="A214" s="16" t="s">
        <v>1070</v>
      </c>
      <c r="B214" s="16" t="s">
        <v>1072</v>
      </c>
      <c r="C214" s="16" t="s">
        <v>1071</v>
      </c>
      <c r="D214" s="16" t="s">
        <v>1073</v>
      </c>
      <c r="E214" s="16" t="s">
        <v>616</v>
      </c>
      <c r="F214" s="16" t="s">
        <v>1073</v>
      </c>
    </row>
    <row r="215" spans="1:6" x14ac:dyDescent="0.25">
      <c r="A215" s="16" t="s">
        <v>1074</v>
      </c>
      <c r="B215" s="16" t="s">
        <v>776</v>
      </c>
      <c r="C215" s="16" t="s">
        <v>775</v>
      </c>
      <c r="D215" s="16" t="s">
        <v>352</v>
      </c>
      <c r="E215" s="16" t="s">
        <v>221</v>
      </c>
      <c r="F215" s="16" t="s">
        <v>352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"/>
  <sheetViews>
    <sheetView workbookViewId="0">
      <selection activeCell="K18" sqref="J18:K18"/>
    </sheetView>
  </sheetViews>
  <sheetFormatPr baseColWidth="10" defaultRowHeight="15" x14ac:dyDescent="0.25"/>
  <sheetData>
    <row r="1" spans="1:10" x14ac:dyDescent="0.25">
      <c r="A1" s="16" t="s">
        <v>1075</v>
      </c>
      <c r="B1" s="16" t="s">
        <v>53</v>
      </c>
      <c r="C1" s="16" t="s">
        <v>48</v>
      </c>
      <c r="D1" s="16" t="s">
        <v>49</v>
      </c>
      <c r="E1" s="16" t="s">
        <v>50</v>
      </c>
      <c r="F1" s="16" t="s">
        <v>51</v>
      </c>
      <c r="G1" s="16" t="s">
        <v>52</v>
      </c>
      <c r="H1" s="16" t="s">
        <v>54</v>
      </c>
      <c r="I1" s="16" t="s">
        <v>55</v>
      </c>
      <c r="J1" s="16" t="s">
        <v>56</v>
      </c>
    </row>
    <row r="2" spans="1:10" x14ac:dyDescent="0.25">
      <c r="A2" s="16" t="s">
        <v>1076</v>
      </c>
      <c r="B2" s="16" t="s">
        <v>1077</v>
      </c>
      <c r="C2" s="16" t="s">
        <v>1078</v>
      </c>
      <c r="D2" s="16" t="s">
        <v>1078</v>
      </c>
      <c r="E2" s="16" t="s">
        <v>1079</v>
      </c>
      <c r="F2" s="16" t="s">
        <v>1080</v>
      </c>
      <c r="G2" s="16" t="s">
        <v>1081</v>
      </c>
      <c r="H2" s="16" t="s">
        <v>1077</v>
      </c>
      <c r="I2" s="16" t="s">
        <v>1081</v>
      </c>
      <c r="J2" s="16" t="s">
        <v>1081</v>
      </c>
    </row>
    <row r="3" spans="1:10" x14ac:dyDescent="0.25">
      <c r="A3" s="16" t="s">
        <v>1082</v>
      </c>
      <c r="B3" s="16" t="s">
        <v>1083</v>
      </c>
      <c r="C3" s="16" t="s">
        <v>1084</v>
      </c>
      <c r="D3" s="16" t="s">
        <v>1085</v>
      </c>
      <c r="E3" s="16" t="s">
        <v>1086</v>
      </c>
      <c r="F3" s="16" t="s">
        <v>1087</v>
      </c>
      <c r="G3" s="16" t="s">
        <v>1088</v>
      </c>
      <c r="H3" s="16" t="s">
        <v>1089</v>
      </c>
      <c r="I3" s="16" t="s">
        <v>1090</v>
      </c>
      <c r="J3" s="16" t="s">
        <v>1088</v>
      </c>
    </row>
    <row r="4" spans="1:10" x14ac:dyDescent="0.25">
      <c r="A4" s="16" t="s">
        <v>1091</v>
      </c>
      <c r="B4" s="16" t="s">
        <v>1092</v>
      </c>
      <c r="C4" s="16" t="s">
        <v>1093</v>
      </c>
      <c r="D4" s="16" t="s">
        <v>1094</v>
      </c>
      <c r="E4" s="16" t="s">
        <v>1095</v>
      </c>
      <c r="F4" s="16" t="s">
        <v>1096</v>
      </c>
      <c r="G4" s="16" t="s">
        <v>1095</v>
      </c>
      <c r="H4" s="16" t="s">
        <v>1097</v>
      </c>
      <c r="I4" s="16" t="s">
        <v>1098</v>
      </c>
      <c r="J4" s="16" t="s">
        <v>1095</v>
      </c>
    </row>
    <row r="5" spans="1:10" x14ac:dyDescent="0.25">
      <c r="A5" s="16" t="s">
        <v>1099</v>
      </c>
      <c r="B5" s="16" t="s">
        <v>1100</v>
      </c>
      <c r="C5" s="16" t="s">
        <v>1101</v>
      </c>
      <c r="D5" s="16" t="s">
        <v>1102</v>
      </c>
      <c r="E5" s="16" t="s">
        <v>1103</v>
      </c>
      <c r="F5" s="16" t="s">
        <v>1104</v>
      </c>
      <c r="G5" s="16" t="s">
        <v>1105</v>
      </c>
      <c r="H5" s="16" t="s">
        <v>1106</v>
      </c>
      <c r="I5" s="16" t="s">
        <v>1107</v>
      </c>
      <c r="J5" s="16" t="s">
        <v>1105</v>
      </c>
    </row>
    <row r="6" spans="1:10" x14ac:dyDescent="0.25">
      <c r="A6" s="16" t="s">
        <v>1108</v>
      </c>
      <c r="B6" s="16" t="s">
        <v>1109</v>
      </c>
      <c r="C6" s="16" t="s">
        <v>1110</v>
      </c>
      <c r="D6" s="16" t="s">
        <v>1111</v>
      </c>
      <c r="E6" s="16"/>
      <c r="F6" s="16"/>
      <c r="G6" s="16"/>
      <c r="H6" s="16" t="s">
        <v>1112</v>
      </c>
      <c r="I6" s="16" t="s">
        <v>1113</v>
      </c>
      <c r="J6" s="16" t="s">
        <v>1114</v>
      </c>
    </row>
    <row r="7" spans="1:10" x14ac:dyDescent="0.25">
      <c r="A7" s="16" t="s">
        <v>1115</v>
      </c>
      <c r="B7" s="16" t="s">
        <v>1116</v>
      </c>
      <c r="C7" s="16" t="s">
        <v>1117</v>
      </c>
      <c r="D7" s="16" t="s">
        <v>1118</v>
      </c>
      <c r="E7" s="16" t="s">
        <v>1119</v>
      </c>
      <c r="F7" s="16" t="s">
        <v>1119</v>
      </c>
      <c r="G7" s="16" t="s">
        <v>1120</v>
      </c>
      <c r="H7" s="16" t="s">
        <v>1121</v>
      </c>
      <c r="I7" s="16" t="s">
        <v>1122</v>
      </c>
      <c r="J7" s="16" t="s">
        <v>1120</v>
      </c>
    </row>
    <row r="8" spans="1:10" x14ac:dyDescent="0.25">
      <c r="A8" s="16" t="s">
        <v>1123</v>
      </c>
      <c r="B8" s="16"/>
      <c r="C8" s="16" t="s">
        <v>1124</v>
      </c>
      <c r="D8" s="16" t="s">
        <v>1125</v>
      </c>
      <c r="E8" s="16"/>
      <c r="F8" s="16"/>
      <c r="G8" s="16"/>
      <c r="H8" s="16"/>
      <c r="I8" s="16" t="s">
        <v>1126</v>
      </c>
      <c r="J8" s="16" t="s">
        <v>1127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0"/>
  <sheetViews>
    <sheetView workbookViewId="0">
      <selection activeCell="G11" sqref="G11"/>
    </sheetView>
  </sheetViews>
  <sheetFormatPr baseColWidth="10" defaultRowHeight="15" x14ac:dyDescent="0.25"/>
  <sheetData>
    <row r="1" spans="1:5" x14ac:dyDescent="0.25">
      <c r="A1" s="16" t="s">
        <v>257</v>
      </c>
      <c r="B1" s="16" t="s">
        <v>33</v>
      </c>
      <c r="C1" s="16" t="s">
        <v>34</v>
      </c>
      <c r="D1" s="16" t="s">
        <v>35</v>
      </c>
      <c r="E1" s="16" t="s">
        <v>36</v>
      </c>
    </row>
    <row r="2" spans="1:5" x14ac:dyDescent="0.25">
      <c r="A2" s="16" t="s">
        <v>258</v>
      </c>
      <c r="B2" s="16"/>
      <c r="C2" s="16"/>
      <c r="D2" s="16"/>
      <c r="E2" s="16"/>
    </row>
    <row r="3" spans="1:5" x14ac:dyDescent="0.25">
      <c r="A3" s="16" t="s">
        <v>259</v>
      </c>
      <c r="B3" s="16"/>
      <c r="C3" s="16" t="s">
        <v>260</v>
      </c>
      <c r="D3" s="16" t="s">
        <v>261</v>
      </c>
      <c r="E3" s="16" t="s">
        <v>262</v>
      </c>
    </row>
    <row r="4" spans="1:5" x14ac:dyDescent="0.25">
      <c r="A4" s="16" t="s">
        <v>263</v>
      </c>
      <c r="B4" s="16"/>
      <c r="C4" s="16"/>
      <c r="D4" s="16" t="s">
        <v>243</v>
      </c>
      <c r="E4" s="16" t="s">
        <v>236</v>
      </c>
    </row>
    <row r="5" spans="1:5" x14ac:dyDescent="0.25">
      <c r="A5" s="16" t="s">
        <v>264</v>
      </c>
      <c r="B5" s="16"/>
      <c r="C5" s="16" t="s">
        <v>2099</v>
      </c>
      <c r="D5" s="16" t="s">
        <v>265</v>
      </c>
      <c r="E5" s="16" t="s">
        <v>266</v>
      </c>
    </row>
    <row r="6" spans="1:5" x14ac:dyDescent="0.25">
      <c r="A6" s="16" t="s">
        <v>267</v>
      </c>
      <c r="B6" s="16"/>
      <c r="C6" s="16"/>
      <c r="D6" s="16"/>
      <c r="E6" s="16"/>
    </row>
    <row r="7" spans="1:5" x14ac:dyDescent="0.25">
      <c r="A7" s="16" t="s">
        <v>268</v>
      </c>
      <c r="B7" s="16"/>
      <c r="C7" s="16"/>
      <c r="D7" s="16"/>
      <c r="E7" s="16"/>
    </row>
    <row r="8" spans="1:5" x14ac:dyDescent="0.25">
      <c r="A8" s="16" t="s">
        <v>269</v>
      </c>
      <c r="B8" s="16" t="s">
        <v>270</v>
      </c>
      <c r="C8" s="16" t="s">
        <v>271</v>
      </c>
      <c r="D8" s="16"/>
      <c r="E8" s="16" t="s">
        <v>221</v>
      </c>
    </row>
    <row r="9" spans="1:5" x14ac:dyDescent="0.25">
      <c r="A9" s="16" t="s">
        <v>272</v>
      </c>
      <c r="B9" s="16"/>
      <c r="C9" s="16"/>
      <c r="D9" s="16"/>
      <c r="E9" s="16" t="s">
        <v>273</v>
      </c>
    </row>
    <row r="10" spans="1:5" x14ac:dyDescent="0.25">
      <c r="A10" s="16" t="s">
        <v>274</v>
      </c>
      <c r="B10" s="16" t="s">
        <v>275</v>
      </c>
      <c r="C10" s="16" t="s">
        <v>276</v>
      </c>
      <c r="D10" s="16" t="s">
        <v>277</v>
      </c>
      <c r="E10" s="16" t="s">
        <v>227</v>
      </c>
    </row>
    <row r="11" spans="1:5" x14ac:dyDescent="0.25">
      <c r="A11" s="16" t="s">
        <v>278</v>
      </c>
      <c r="B11" s="16" t="s">
        <v>279</v>
      </c>
      <c r="C11" s="16" t="s">
        <v>280</v>
      </c>
      <c r="D11" s="16" t="s">
        <v>281</v>
      </c>
      <c r="E11" s="16" t="s">
        <v>282</v>
      </c>
    </row>
    <row r="12" spans="1:5" x14ac:dyDescent="0.25">
      <c r="A12" s="16" t="s">
        <v>283</v>
      </c>
      <c r="B12" s="16"/>
      <c r="C12" s="16"/>
      <c r="D12" s="16"/>
      <c r="E12" s="16"/>
    </row>
    <row r="13" spans="1:5" x14ac:dyDescent="0.25">
      <c r="A13" s="16" t="s">
        <v>284</v>
      </c>
      <c r="B13" s="16"/>
      <c r="C13" s="16"/>
      <c r="D13" s="16"/>
      <c r="E13" s="16"/>
    </row>
    <row r="14" spans="1:5" x14ac:dyDescent="0.25">
      <c r="A14" s="16" t="s">
        <v>285</v>
      </c>
      <c r="B14" s="16"/>
      <c r="C14" s="16" t="s">
        <v>1163</v>
      </c>
      <c r="D14" s="16" t="s">
        <v>1165</v>
      </c>
      <c r="E14" s="16" t="s">
        <v>14</v>
      </c>
    </row>
    <row r="15" spans="1:5" x14ac:dyDescent="0.25">
      <c r="A15" s="16" t="s">
        <v>286</v>
      </c>
      <c r="B15" s="16"/>
      <c r="C15" s="16"/>
      <c r="D15" s="16"/>
      <c r="E15" s="16"/>
    </row>
    <row r="16" spans="1:5" x14ac:dyDescent="0.25">
      <c r="A16" s="16" t="s">
        <v>287</v>
      </c>
      <c r="B16" s="16"/>
      <c r="C16" s="16"/>
      <c r="D16" s="16"/>
      <c r="E16" s="16"/>
    </row>
    <row r="17" spans="1:5" x14ac:dyDescent="0.25">
      <c r="A17" s="16" t="s">
        <v>288</v>
      </c>
      <c r="B17" s="16"/>
      <c r="C17" s="16"/>
      <c r="D17" s="16"/>
      <c r="E17" s="16"/>
    </row>
    <row r="18" spans="1:5" x14ac:dyDescent="0.25">
      <c r="A18" s="16" t="s">
        <v>289</v>
      </c>
      <c r="B18" s="16"/>
      <c r="C18" s="16" t="s">
        <v>306</v>
      </c>
      <c r="D18" s="16" t="s">
        <v>1250</v>
      </c>
      <c r="E18" s="16" t="s">
        <v>485</v>
      </c>
    </row>
    <row r="19" spans="1:5" x14ac:dyDescent="0.25">
      <c r="A19" s="16" t="s">
        <v>290</v>
      </c>
      <c r="B19" s="16"/>
      <c r="C19" s="16" t="s">
        <v>291</v>
      </c>
      <c r="D19" s="16" t="s">
        <v>292</v>
      </c>
      <c r="E19" s="16" t="s">
        <v>293</v>
      </c>
    </row>
    <row r="20" spans="1:5" x14ac:dyDescent="0.25">
      <c r="A20" s="16" t="s">
        <v>2100</v>
      </c>
      <c r="B20" s="16"/>
      <c r="C20" s="16"/>
      <c r="D20" s="16" t="s">
        <v>294</v>
      </c>
      <c r="E20" s="16" t="s">
        <v>295</v>
      </c>
    </row>
    <row r="21" spans="1:5" x14ac:dyDescent="0.25">
      <c r="A21" s="16" t="s">
        <v>296</v>
      </c>
      <c r="B21" s="16"/>
      <c r="C21" s="16" t="s">
        <v>297</v>
      </c>
      <c r="D21" s="16" t="s">
        <v>298</v>
      </c>
      <c r="E21" s="16" t="s">
        <v>299</v>
      </c>
    </row>
    <row r="22" spans="1:5" x14ac:dyDescent="0.25">
      <c r="A22" s="16" t="s">
        <v>300</v>
      </c>
      <c r="B22" s="16"/>
      <c r="C22" s="16" t="s">
        <v>301</v>
      </c>
      <c r="D22" s="16" t="s">
        <v>302</v>
      </c>
      <c r="E22" s="16" t="s">
        <v>303</v>
      </c>
    </row>
    <row r="23" spans="1:5" x14ac:dyDescent="0.25">
      <c r="A23" s="16" t="s">
        <v>304</v>
      </c>
      <c r="B23" s="16"/>
      <c r="C23" s="16"/>
      <c r="D23" s="16"/>
      <c r="E23" s="16"/>
    </row>
    <row r="24" spans="1:5" x14ac:dyDescent="0.25">
      <c r="A24" s="16" t="s">
        <v>2101</v>
      </c>
      <c r="B24" s="16"/>
      <c r="C24" s="16"/>
      <c r="D24" s="16" t="s">
        <v>305</v>
      </c>
      <c r="E24" s="16" t="s">
        <v>306</v>
      </c>
    </row>
    <row r="25" spans="1:5" x14ac:dyDescent="0.25">
      <c r="A25" s="16" t="s">
        <v>307</v>
      </c>
      <c r="B25" s="16" t="s">
        <v>308</v>
      </c>
      <c r="C25" s="16" t="s">
        <v>309</v>
      </c>
      <c r="D25" s="16" t="s">
        <v>310</v>
      </c>
      <c r="E25" s="16" t="s">
        <v>311</v>
      </c>
    </row>
    <row r="26" spans="1:5" x14ac:dyDescent="0.25">
      <c r="A26" s="16" t="s">
        <v>312</v>
      </c>
      <c r="B26" s="16"/>
      <c r="C26" s="16"/>
      <c r="D26" s="16"/>
      <c r="E26" s="16"/>
    </row>
    <row r="27" spans="1:5" x14ac:dyDescent="0.25">
      <c r="A27" s="16" t="s">
        <v>313</v>
      </c>
      <c r="B27" s="16"/>
      <c r="C27" s="16"/>
      <c r="D27" s="16"/>
      <c r="E27" s="16"/>
    </row>
    <row r="28" spans="1:5" x14ac:dyDescent="0.25">
      <c r="A28" s="16" t="s">
        <v>314</v>
      </c>
      <c r="B28" s="16"/>
      <c r="C28" s="16"/>
      <c r="D28" s="16"/>
      <c r="E28" s="16"/>
    </row>
    <row r="29" spans="1:5" x14ac:dyDescent="0.25">
      <c r="A29" s="16" t="s">
        <v>2102</v>
      </c>
      <c r="B29" s="16"/>
      <c r="C29" s="16"/>
      <c r="D29" s="16" t="s">
        <v>315</v>
      </c>
      <c r="E29" s="16" t="s">
        <v>316</v>
      </c>
    </row>
    <row r="30" spans="1:5" x14ac:dyDescent="0.25">
      <c r="A30" s="16" t="s">
        <v>317</v>
      </c>
      <c r="B30" s="16"/>
      <c r="C30" s="16"/>
      <c r="D30" s="16" t="s">
        <v>318</v>
      </c>
      <c r="E30" s="16" t="s">
        <v>319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"/>
  <sheetViews>
    <sheetView workbookViewId="0">
      <selection activeCell="E4" sqref="E4:E16"/>
    </sheetView>
  </sheetViews>
  <sheetFormatPr baseColWidth="10" defaultRowHeight="15" x14ac:dyDescent="0.25"/>
  <sheetData>
    <row r="1" spans="1:9" x14ac:dyDescent="0.25">
      <c r="A1" s="16" t="s">
        <v>360</v>
      </c>
      <c r="B1" s="16" t="s">
        <v>44</v>
      </c>
      <c r="C1" s="16" t="s">
        <v>41</v>
      </c>
      <c r="D1" s="16" t="s">
        <v>42</v>
      </c>
      <c r="E1" s="16" t="s">
        <v>43</v>
      </c>
      <c r="F1" s="16" t="s">
        <v>40</v>
      </c>
      <c r="G1" s="16" t="s">
        <v>1687</v>
      </c>
      <c r="H1" s="16" t="s">
        <v>2068</v>
      </c>
      <c r="I1" s="16" t="s">
        <v>1726</v>
      </c>
    </row>
    <row r="2" spans="1:9" x14ac:dyDescent="0.25">
      <c r="A2" s="16" t="s">
        <v>361</v>
      </c>
      <c r="B2" s="16"/>
      <c r="C2" s="16"/>
      <c r="D2" s="16"/>
      <c r="E2" s="16"/>
      <c r="F2" s="16"/>
      <c r="G2" s="16"/>
      <c r="H2" s="16"/>
      <c r="I2" s="16"/>
    </row>
    <row r="3" spans="1:9" x14ac:dyDescent="0.25">
      <c r="A3" s="16" t="s">
        <v>362</v>
      </c>
      <c r="B3" s="16"/>
      <c r="C3" s="16"/>
      <c r="D3" s="16"/>
      <c r="E3" s="16"/>
      <c r="F3" s="16"/>
      <c r="G3" s="16"/>
      <c r="H3" s="16"/>
      <c r="I3" s="16"/>
    </row>
    <row r="4" spans="1:9" x14ac:dyDescent="0.25">
      <c r="A4" s="16" t="s">
        <v>363</v>
      </c>
      <c r="B4" s="16" t="s">
        <v>366</v>
      </c>
      <c r="C4" s="16" t="s">
        <v>14</v>
      </c>
      <c r="D4" s="5">
        <v>43327</v>
      </c>
      <c r="E4" s="16" t="s">
        <v>365</v>
      </c>
      <c r="F4" s="16" t="s">
        <v>364</v>
      </c>
      <c r="G4" s="16"/>
      <c r="H4" s="16"/>
      <c r="I4" s="16"/>
    </row>
    <row r="5" spans="1:9" x14ac:dyDescent="0.25">
      <c r="A5" s="16" t="s">
        <v>367</v>
      </c>
      <c r="B5" s="16"/>
      <c r="C5" s="16" t="s">
        <v>14</v>
      </c>
      <c r="D5" s="16"/>
      <c r="E5" s="16"/>
      <c r="F5" s="16"/>
      <c r="G5" s="16"/>
      <c r="H5" s="16"/>
      <c r="I5" s="16"/>
    </row>
    <row r="6" spans="1:9" x14ac:dyDescent="0.25">
      <c r="A6" s="16" t="s">
        <v>368</v>
      </c>
      <c r="B6" s="16" t="s">
        <v>370</v>
      </c>
      <c r="C6" s="16" t="s">
        <v>299</v>
      </c>
      <c r="D6" s="5">
        <v>43347</v>
      </c>
      <c r="E6" s="16" t="s">
        <v>369</v>
      </c>
      <c r="F6" s="16" t="s">
        <v>244</v>
      </c>
      <c r="G6" s="16" t="s">
        <v>2146</v>
      </c>
      <c r="H6" s="16" t="s">
        <v>2147</v>
      </c>
      <c r="I6" s="16" t="s">
        <v>2148</v>
      </c>
    </row>
    <row r="7" spans="1:9" x14ac:dyDescent="0.25">
      <c r="A7" s="16" t="s">
        <v>371</v>
      </c>
      <c r="B7" s="16"/>
      <c r="C7" s="16" t="s">
        <v>14</v>
      </c>
      <c r="D7" s="16"/>
      <c r="E7" s="16"/>
      <c r="F7" s="16"/>
      <c r="G7" s="16"/>
      <c r="H7" s="16"/>
      <c r="I7" s="16"/>
    </row>
    <row r="8" spans="1:9" x14ac:dyDescent="0.25">
      <c r="A8" s="16" t="s">
        <v>2149</v>
      </c>
      <c r="B8" s="16"/>
      <c r="C8" s="16" t="s">
        <v>14</v>
      </c>
      <c r="D8" s="16"/>
      <c r="E8" s="16"/>
      <c r="F8" s="16" t="s">
        <v>373</v>
      </c>
      <c r="G8" s="16"/>
      <c r="H8" s="16"/>
      <c r="I8" s="16"/>
    </row>
    <row r="9" spans="1:9" x14ac:dyDescent="0.25">
      <c r="A9" s="16" t="s">
        <v>374</v>
      </c>
      <c r="B9" s="16"/>
      <c r="C9" s="16"/>
      <c r="D9" s="16"/>
      <c r="E9" s="16"/>
      <c r="F9" s="16"/>
      <c r="G9" s="16"/>
      <c r="H9" s="16"/>
      <c r="I9" s="16"/>
    </row>
    <row r="10" spans="1:9" x14ac:dyDescent="0.25">
      <c r="A10" s="16" t="s">
        <v>375</v>
      </c>
      <c r="B10" s="16"/>
      <c r="C10" s="16"/>
      <c r="D10" s="16"/>
      <c r="E10" s="16"/>
      <c r="F10" s="16"/>
      <c r="G10" s="16"/>
      <c r="H10" s="16"/>
      <c r="I10" s="16"/>
    </row>
    <row r="11" spans="1:9" x14ac:dyDescent="0.25">
      <c r="A11" s="16" t="s">
        <v>376</v>
      </c>
      <c r="B11" s="16" t="s">
        <v>378</v>
      </c>
      <c r="C11" s="16"/>
      <c r="D11" s="5">
        <v>43144</v>
      </c>
      <c r="E11" s="16" t="s">
        <v>377</v>
      </c>
      <c r="F11" s="16"/>
      <c r="G11" s="16" t="s">
        <v>2150</v>
      </c>
      <c r="H11" s="16"/>
      <c r="I11" s="16"/>
    </row>
    <row r="12" spans="1:9" x14ac:dyDescent="0.25">
      <c r="A12" s="16" t="s">
        <v>379</v>
      </c>
      <c r="B12" s="16"/>
      <c r="C12" s="16"/>
      <c r="D12" s="16"/>
      <c r="E12" s="16"/>
      <c r="F12" s="16" t="s">
        <v>380</v>
      </c>
      <c r="G12" s="16"/>
      <c r="H12" s="16"/>
      <c r="I12" s="16"/>
    </row>
    <row r="13" spans="1:9" x14ac:dyDescent="0.25">
      <c r="A13" s="16" t="s">
        <v>381</v>
      </c>
      <c r="B13" s="16"/>
      <c r="C13" s="16"/>
      <c r="D13" s="16"/>
      <c r="E13" s="16"/>
      <c r="F13" s="16"/>
      <c r="G13" s="16"/>
      <c r="H13" s="16"/>
      <c r="I13" s="16"/>
    </row>
    <row r="14" spans="1:9" x14ac:dyDescent="0.25">
      <c r="A14" s="16" t="s">
        <v>382</v>
      </c>
      <c r="B14" s="16"/>
      <c r="C14" s="16"/>
      <c r="D14" s="16"/>
      <c r="E14" s="16"/>
      <c r="F14" s="16"/>
      <c r="G14" s="16"/>
      <c r="H14" s="16"/>
      <c r="I14" s="16"/>
    </row>
    <row r="15" spans="1:9" x14ac:dyDescent="0.25">
      <c r="A15" s="16" t="s">
        <v>1760</v>
      </c>
      <c r="B15" s="16"/>
      <c r="C15" s="16" t="s">
        <v>14</v>
      </c>
      <c r="D15" s="16"/>
      <c r="E15" s="16"/>
      <c r="F15" s="16" t="s">
        <v>214</v>
      </c>
      <c r="G15" s="16"/>
      <c r="H15" s="16"/>
      <c r="I15" s="16"/>
    </row>
    <row r="16" spans="1:9" x14ac:dyDescent="0.25">
      <c r="A16" s="16" t="s">
        <v>383</v>
      </c>
      <c r="B16" s="16" t="s">
        <v>385</v>
      </c>
      <c r="C16" s="16"/>
      <c r="D16" s="5">
        <v>43257</v>
      </c>
      <c r="E16" s="16" t="s">
        <v>384</v>
      </c>
      <c r="F16" s="16"/>
      <c r="G16" s="16" t="s">
        <v>2151</v>
      </c>
      <c r="H16" s="16" t="s">
        <v>2152</v>
      </c>
      <c r="I16" s="16" t="s">
        <v>2153</v>
      </c>
    </row>
    <row r="17" spans="1:9" x14ac:dyDescent="0.25">
      <c r="A17" s="16" t="s">
        <v>386</v>
      </c>
      <c r="B17" s="16"/>
      <c r="C17" s="16"/>
      <c r="D17" s="16"/>
      <c r="E17" s="16"/>
      <c r="F17" s="16"/>
      <c r="G17" s="16"/>
      <c r="H17" s="16"/>
      <c r="I17" s="16"/>
    </row>
    <row r="18" spans="1:9" x14ac:dyDescent="0.25">
      <c r="A18" s="16" t="s">
        <v>387</v>
      </c>
      <c r="B18" s="16"/>
      <c r="C18" s="16"/>
      <c r="D18" s="16"/>
      <c r="E18" s="16"/>
      <c r="F18" s="16" t="s">
        <v>388</v>
      </c>
      <c r="G18" s="16"/>
      <c r="H18" s="16"/>
      <c r="I18" s="16"/>
    </row>
    <row r="19" spans="1:9" x14ac:dyDescent="0.25">
      <c r="A19" s="16" t="s">
        <v>389</v>
      </c>
      <c r="B19" s="16"/>
      <c r="C19" s="16"/>
      <c r="D19" s="16"/>
      <c r="E19" s="16"/>
      <c r="F19" s="16" t="s">
        <v>262</v>
      </c>
      <c r="G19" s="16"/>
      <c r="H19" s="16"/>
      <c r="I19" s="16"/>
    </row>
    <row r="20" spans="1:9" x14ac:dyDescent="0.25">
      <c r="A20" s="16" t="s">
        <v>390</v>
      </c>
      <c r="B20" s="16"/>
      <c r="C20" s="16"/>
      <c r="D20" s="16"/>
      <c r="E20" s="16"/>
      <c r="F20" s="16"/>
      <c r="G20" s="16"/>
      <c r="H20" s="16"/>
      <c r="I20" s="16"/>
    </row>
    <row r="21" spans="1:9" x14ac:dyDescent="0.25">
      <c r="A21" s="16" t="s">
        <v>391</v>
      </c>
      <c r="B21" s="16"/>
      <c r="C21" s="16"/>
      <c r="D21" s="16"/>
      <c r="E21" s="16"/>
      <c r="F21" s="16"/>
      <c r="G21" s="16"/>
      <c r="H21" s="16"/>
      <c r="I21" s="16"/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0"/>
  <sheetViews>
    <sheetView workbookViewId="0">
      <selection activeCell="E28" sqref="E28"/>
    </sheetView>
  </sheetViews>
  <sheetFormatPr baseColWidth="10" defaultRowHeight="15" x14ac:dyDescent="0.25"/>
  <sheetData>
    <row r="1" spans="1:6" x14ac:dyDescent="0.25">
      <c r="A1" s="16" t="s">
        <v>392</v>
      </c>
      <c r="B1" s="16" t="s">
        <v>45</v>
      </c>
      <c r="C1" s="16" t="s">
        <v>46</v>
      </c>
      <c r="D1" s="16" t="s">
        <v>47</v>
      </c>
      <c r="E1" s="16" t="s">
        <v>1900</v>
      </c>
      <c r="F1" s="16" t="s">
        <v>1901</v>
      </c>
    </row>
    <row r="2" spans="1:6" x14ac:dyDescent="0.25">
      <c r="A2" s="16" t="s">
        <v>409</v>
      </c>
      <c r="B2" s="16" t="s">
        <v>411</v>
      </c>
      <c r="C2" s="16" t="s">
        <v>2154</v>
      </c>
      <c r="D2" s="16" t="s">
        <v>14</v>
      </c>
      <c r="E2" s="16" t="s">
        <v>556</v>
      </c>
      <c r="F2" s="16" t="s">
        <v>981</v>
      </c>
    </row>
    <row r="3" spans="1:6" x14ac:dyDescent="0.25">
      <c r="A3" s="16" t="s">
        <v>413</v>
      </c>
      <c r="B3" s="16" t="s">
        <v>415</v>
      </c>
      <c r="C3" s="16" t="s">
        <v>414</v>
      </c>
      <c r="D3" s="16" t="s">
        <v>310</v>
      </c>
      <c r="E3" s="16" t="s">
        <v>239</v>
      </c>
      <c r="F3" s="16" t="s">
        <v>310</v>
      </c>
    </row>
    <row r="4" spans="1:6" x14ac:dyDescent="0.25">
      <c r="A4" s="16" t="s">
        <v>416</v>
      </c>
      <c r="B4" s="16" t="s">
        <v>418</v>
      </c>
      <c r="C4" s="16" t="s">
        <v>417</v>
      </c>
      <c r="D4" s="16" t="s">
        <v>419</v>
      </c>
      <c r="E4" s="16" t="s">
        <v>618</v>
      </c>
      <c r="F4" s="16" t="s">
        <v>419</v>
      </c>
    </row>
    <row r="5" spans="1:6" x14ac:dyDescent="0.25">
      <c r="A5" s="16" t="s">
        <v>420</v>
      </c>
      <c r="B5" s="16" t="s">
        <v>422</v>
      </c>
      <c r="C5" s="16" t="s">
        <v>421</v>
      </c>
      <c r="D5" s="16" t="s">
        <v>423</v>
      </c>
      <c r="E5" s="16" t="s">
        <v>747</v>
      </c>
      <c r="F5" s="16" t="s">
        <v>423</v>
      </c>
    </row>
    <row r="6" spans="1:6" x14ac:dyDescent="0.25">
      <c r="A6" s="16" t="s">
        <v>424</v>
      </c>
      <c r="B6" s="16" t="s">
        <v>2155</v>
      </c>
      <c r="C6" s="16" t="s">
        <v>425</v>
      </c>
      <c r="D6" s="16" t="s">
        <v>426</v>
      </c>
      <c r="E6" s="16" t="s">
        <v>2156</v>
      </c>
      <c r="F6" s="16" t="s">
        <v>792</v>
      </c>
    </row>
    <row r="7" spans="1:6" x14ac:dyDescent="0.25">
      <c r="A7" s="16" t="s">
        <v>427</v>
      </c>
      <c r="B7" s="16" t="s">
        <v>429</v>
      </c>
      <c r="C7" s="16" t="s">
        <v>428</v>
      </c>
      <c r="D7" s="16" t="s">
        <v>293</v>
      </c>
      <c r="E7" s="16" t="s">
        <v>1061</v>
      </c>
      <c r="F7" s="16" t="s">
        <v>293</v>
      </c>
    </row>
    <row r="8" spans="1:6" x14ac:dyDescent="0.25">
      <c r="A8" s="16" t="s">
        <v>430</v>
      </c>
      <c r="B8" s="16" t="s">
        <v>432</v>
      </c>
      <c r="C8" s="16" t="s">
        <v>431</v>
      </c>
      <c r="D8" s="16" t="s">
        <v>433</v>
      </c>
      <c r="E8" s="16" t="s">
        <v>2157</v>
      </c>
      <c r="F8" s="16" t="s">
        <v>426</v>
      </c>
    </row>
    <row r="9" spans="1:6" x14ac:dyDescent="0.25">
      <c r="A9" s="16" t="s">
        <v>434</v>
      </c>
      <c r="B9" s="16" t="s">
        <v>436</v>
      </c>
      <c r="C9" s="16" t="s">
        <v>435</v>
      </c>
      <c r="D9" s="16" t="s">
        <v>437</v>
      </c>
      <c r="E9" s="16" t="s">
        <v>342</v>
      </c>
      <c r="F9" s="16" t="s">
        <v>437</v>
      </c>
    </row>
    <row r="10" spans="1:6" x14ac:dyDescent="0.25">
      <c r="A10" s="16" t="s">
        <v>438</v>
      </c>
      <c r="B10" s="16" t="s">
        <v>440</v>
      </c>
      <c r="C10" s="16" t="s">
        <v>439</v>
      </c>
      <c r="D10" s="16" t="s">
        <v>441</v>
      </c>
      <c r="E10" s="16" t="s">
        <v>2158</v>
      </c>
      <c r="F10" s="16" t="s">
        <v>470</v>
      </c>
    </row>
    <row r="11" spans="1:6" x14ac:dyDescent="0.25">
      <c r="A11" s="16" t="s">
        <v>442</v>
      </c>
      <c r="B11" s="16" t="s">
        <v>444</v>
      </c>
      <c r="C11" s="16" t="s">
        <v>443</v>
      </c>
      <c r="D11" s="16" t="s">
        <v>445</v>
      </c>
      <c r="E11" s="16" t="s">
        <v>351</v>
      </c>
      <c r="F11" s="16" t="s">
        <v>445</v>
      </c>
    </row>
    <row r="12" spans="1:6" x14ac:dyDescent="0.25">
      <c r="A12" s="16" t="s">
        <v>446</v>
      </c>
      <c r="B12" s="16" t="s">
        <v>448</v>
      </c>
      <c r="C12" s="16" t="s">
        <v>447</v>
      </c>
      <c r="D12" s="16" t="s">
        <v>335</v>
      </c>
      <c r="E12" s="16" t="s">
        <v>224</v>
      </c>
      <c r="F12" s="16" t="s">
        <v>796</v>
      </c>
    </row>
    <row r="13" spans="1:6" x14ac:dyDescent="0.25">
      <c r="A13" s="16" t="s">
        <v>449</v>
      </c>
      <c r="B13" s="16" t="s">
        <v>451</v>
      </c>
      <c r="C13" s="16" t="s">
        <v>450</v>
      </c>
      <c r="D13" s="16" t="s">
        <v>346</v>
      </c>
      <c r="E13" s="16" t="s">
        <v>327</v>
      </c>
      <c r="F13" s="16" t="s">
        <v>346</v>
      </c>
    </row>
    <row r="14" spans="1:6" x14ac:dyDescent="0.25">
      <c r="A14" s="16" t="s">
        <v>452</v>
      </c>
      <c r="B14" s="16" t="s">
        <v>454</v>
      </c>
      <c r="C14" s="16" t="s">
        <v>453</v>
      </c>
      <c r="D14" s="16" t="s">
        <v>223</v>
      </c>
      <c r="E14" s="16" t="s">
        <v>357</v>
      </c>
      <c r="F14" s="16" t="s">
        <v>223</v>
      </c>
    </row>
    <row r="15" spans="1:6" x14ac:dyDescent="0.25">
      <c r="A15" s="16" t="s">
        <v>455</v>
      </c>
      <c r="B15" s="16" t="s">
        <v>457</v>
      </c>
      <c r="C15" s="16" t="s">
        <v>456</v>
      </c>
      <c r="D15" s="16" t="s">
        <v>462</v>
      </c>
      <c r="E15" s="16" t="s">
        <v>647</v>
      </c>
      <c r="F15" s="16" t="s">
        <v>474</v>
      </c>
    </row>
    <row r="16" spans="1:6" x14ac:dyDescent="0.25">
      <c r="A16" s="16" t="s">
        <v>459</v>
      </c>
      <c r="B16" s="16" t="s">
        <v>461</v>
      </c>
      <c r="C16" s="16" t="s">
        <v>460</v>
      </c>
      <c r="D16" s="16" t="s">
        <v>462</v>
      </c>
      <c r="E16" s="16" t="s">
        <v>466</v>
      </c>
      <c r="F16" s="16" t="s">
        <v>458</v>
      </c>
    </row>
    <row r="17" spans="1:6" x14ac:dyDescent="0.25">
      <c r="A17" s="16" t="s">
        <v>463</v>
      </c>
      <c r="B17" s="16" t="s">
        <v>465</v>
      </c>
      <c r="C17" s="16" t="s">
        <v>464</v>
      </c>
      <c r="D17" s="16" t="s">
        <v>466</v>
      </c>
      <c r="E17" s="16" t="s">
        <v>897</v>
      </c>
      <c r="F17" s="16" t="s">
        <v>466</v>
      </c>
    </row>
    <row r="18" spans="1:6" x14ac:dyDescent="0.25">
      <c r="A18" s="16" t="s">
        <v>467</v>
      </c>
      <c r="B18" s="16" t="s">
        <v>469</v>
      </c>
      <c r="C18" s="16" t="s">
        <v>468</v>
      </c>
      <c r="D18" s="16" t="s">
        <v>470</v>
      </c>
      <c r="E18" s="16" t="s">
        <v>341</v>
      </c>
      <c r="F18" s="16" t="s">
        <v>763</v>
      </c>
    </row>
    <row r="19" spans="1:6" x14ac:dyDescent="0.25">
      <c r="A19" s="16" t="s">
        <v>471</v>
      </c>
      <c r="B19" s="16" t="s">
        <v>473</v>
      </c>
      <c r="C19" s="16" t="s">
        <v>472</v>
      </c>
      <c r="D19" s="16" t="s">
        <v>474</v>
      </c>
      <c r="E19" s="16" t="s">
        <v>522</v>
      </c>
      <c r="F19" s="16" t="s">
        <v>441</v>
      </c>
    </row>
    <row r="20" spans="1:6" x14ac:dyDescent="0.25">
      <c r="A20" s="16" t="s">
        <v>475</v>
      </c>
      <c r="B20" s="16" t="s">
        <v>477</v>
      </c>
      <c r="C20" s="16" t="s">
        <v>476</v>
      </c>
      <c r="D20" s="16" t="s">
        <v>478</v>
      </c>
      <c r="E20" s="16"/>
      <c r="F20" s="16"/>
    </row>
    <row r="21" spans="1:6" x14ac:dyDescent="0.25">
      <c r="A21" s="16" t="s">
        <v>479</v>
      </c>
      <c r="B21" s="16" t="s">
        <v>481</v>
      </c>
      <c r="C21" s="16" t="s">
        <v>480</v>
      </c>
      <c r="D21" s="16" t="s">
        <v>345</v>
      </c>
      <c r="E21" s="16" t="s">
        <v>899</v>
      </c>
      <c r="F21" s="16" t="s">
        <v>345</v>
      </c>
    </row>
    <row r="22" spans="1:6" x14ac:dyDescent="0.25">
      <c r="A22" s="16" t="s">
        <v>482</v>
      </c>
      <c r="B22" s="16" t="s">
        <v>484</v>
      </c>
      <c r="C22" s="16" t="s">
        <v>483</v>
      </c>
      <c r="D22" s="16" t="s">
        <v>485</v>
      </c>
      <c r="E22" s="16" t="s">
        <v>358</v>
      </c>
      <c r="F22" s="16" t="s">
        <v>485</v>
      </c>
    </row>
    <row r="23" spans="1:6" x14ac:dyDescent="0.25">
      <c r="A23" s="16" t="s">
        <v>486</v>
      </c>
      <c r="B23" s="16" t="s">
        <v>488</v>
      </c>
      <c r="C23" s="16" t="s">
        <v>487</v>
      </c>
      <c r="D23" s="16" t="s">
        <v>14</v>
      </c>
      <c r="E23" s="16"/>
      <c r="F23" s="16"/>
    </row>
    <row r="24" spans="1:6" x14ac:dyDescent="0.25">
      <c r="A24" s="16" t="s">
        <v>489</v>
      </c>
      <c r="B24" s="16" t="s">
        <v>491</v>
      </c>
      <c r="C24" s="16" t="s">
        <v>490</v>
      </c>
      <c r="D24" s="16" t="s">
        <v>492</v>
      </c>
      <c r="E24" s="16" t="s">
        <v>2123</v>
      </c>
      <c r="F24" s="16" t="s">
        <v>492</v>
      </c>
    </row>
    <row r="25" spans="1:6" x14ac:dyDescent="0.25">
      <c r="A25" s="16" t="s">
        <v>493</v>
      </c>
      <c r="B25" s="16" t="s">
        <v>495</v>
      </c>
      <c r="C25" s="16" t="s">
        <v>494</v>
      </c>
      <c r="D25" s="16" t="s">
        <v>496</v>
      </c>
      <c r="E25" s="16" t="s">
        <v>972</v>
      </c>
      <c r="F25" s="16" t="s">
        <v>349</v>
      </c>
    </row>
    <row r="26" spans="1:6" x14ac:dyDescent="0.25">
      <c r="A26" s="16" t="s">
        <v>497</v>
      </c>
      <c r="B26" s="16" t="s">
        <v>499</v>
      </c>
      <c r="C26" s="16" t="s">
        <v>498</v>
      </c>
      <c r="D26" s="16" t="s">
        <v>500</v>
      </c>
      <c r="E26" s="16" t="s">
        <v>423</v>
      </c>
      <c r="F26" s="16" t="s">
        <v>2159</v>
      </c>
    </row>
    <row r="27" spans="1:6" x14ac:dyDescent="0.25">
      <c r="A27" s="16" t="s">
        <v>501</v>
      </c>
      <c r="B27" s="16" t="s">
        <v>502</v>
      </c>
      <c r="C27" s="16" t="s">
        <v>242</v>
      </c>
      <c r="D27" s="16" t="s">
        <v>503</v>
      </c>
      <c r="E27" s="16" t="s">
        <v>227</v>
      </c>
      <c r="F27" s="16" t="s">
        <v>914</v>
      </c>
    </row>
    <row r="28" spans="1:6" x14ac:dyDescent="0.25">
      <c r="A28" s="16" t="s">
        <v>504</v>
      </c>
      <c r="B28" s="16" t="s">
        <v>506</v>
      </c>
      <c r="C28" s="16" t="s">
        <v>505</v>
      </c>
      <c r="D28" s="16" t="s">
        <v>357</v>
      </c>
      <c r="E28" s="16" t="s">
        <v>346</v>
      </c>
      <c r="F28" s="16" t="s">
        <v>357</v>
      </c>
    </row>
    <row r="29" spans="1:6" x14ac:dyDescent="0.25">
      <c r="A29" s="16" t="s">
        <v>507</v>
      </c>
      <c r="B29" s="16" t="s">
        <v>477</v>
      </c>
      <c r="C29" s="16" t="s">
        <v>476</v>
      </c>
      <c r="D29" s="16" t="s">
        <v>2160</v>
      </c>
      <c r="E29" s="16" t="s">
        <v>706</v>
      </c>
      <c r="F29" s="16" t="s">
        <v>2160</v>
      </c>
    </row>
    <row r="30" spans="1:6" x14ac:dyDescent="0.25">
      <c r="A30" s="16" t="s">
        <v>508</v>
      </c>
      <c r="B30" s="16" t="s">
        <v>510</v>
      </c>
      <c r="C30" s="16" t="s">
        <v>509</v>
      </c>
      <c r="D30" s="16" t="s">
        <v>511</v>
      </c>
      <c r="E30" s="16" t="s">
        <v>938</v>
      </c>
      <c r="F30" s="16" t="s">
        <v>680</v>
      </c>
    </row>
    <row r="31" spans="1:6" x14ac:dyDescent="0.25">
      <c r="A31" s="16" t="s">
        <v>512</v>
      </c>
      <c r="B31" s="16" t="s">
        <v>514</v>
      </c>
      <c r="C31" s="16" t="s">
        <v>513</v>
      </c>
      <c r="D31" s="16" t="s">
        <v>277</v>
      </c>
      <c r="E31" s="16" t="s">
        <v>2161</v>
      </c>
      <c r="F31" s="16" t="s">
        <v>949</v>
      </c>
    </row>
    <row r="32" spans="1:6" x14ac:dyDescent="0.25">
      <c r="A32" s="16" t="s">
        <v>515</v>
      </c>
      <c r="B32" s="16" t="s">
        <v>517</v>
      </c>
      <c r="C32" s="16" t="s">
        <v>516</v>
      </c>
      <c r="D32" s="16" t="s">
        <v>518</v>
      </c>
      <c r="E32" s="16" t="s">
        <v>814</v>
      </c>
      <c r="F32" s="16" t="s">
        <v>518</v>
      </c>
    </row>
    <row r="33" spans="1:6" x14ac:dyDescent="0.25">
      <c r="A33" s="16" t="s">
        <v>519</v>
      </c>
      <c r="B33" s="16" t="s">
        <v>521</v>
      </c>
      <c r="C33" s="16" t="s">
        <v>520</v>
      </c>
      <c r="D33" s="16" t="s">
        <v>522</v>
      </c>
      <c r="E33" s="16" t="s">
        <v>906</v>
      </c>
      <c r="F33" s="16" t="s">
        <v>2158</v>
      </c>
    </row>
    <row r="34" spans="1:6" x14ac:dyDescent="0.25">
      <c r="A34" s="16" t="s">
        <v>523</v>
      </c>
      <c r="B34" s="16" t="s">
        <v>524</v>
      </c>
      <c r="C34" s="16" t="s">
        <v>2162</v>
      </c>
      <c r="D34" s="16" t="s">
        <v>525</v>
      </c>
      <c r="E34" s="16" t="s">
        <v>2163</v>
      </c>
      <c r="F34" s="16" t="s">
        <v>525</v>
      </c>
    </row>
    <row r="35" spans="1:6" x14ac:dyDescent="0.25">
      <c r="A35" s="16" t="s">
        <v>526</v>
      </c>
      <c r="B35" s="16" t="s">
        <v>528</v>
      </c>
      <c r="C35" s="16" t="s">
        <v>527</v>
      </c>
      <c r="D35" s="16" t="s">
        <v>303</v>
      </c>
      <c r="E35" s="16" t="s">
        <v>266</v>
      </c>
      <c r="F35" s="16" t="s">
        <v>303</v>
      </c>
    </row>
    <row r="36" spans="1:6" x14ac:dyDescent="0.25">
      <c r="A36" s="16" t="s">
        <v>529</v>
      </c>
      <c r="B36" s="16" t="s">
        <v>531</v>
      </c>
      <c r="C36" s="16" t="s">
        <v>530</v>
      </c>
      <c r="D36" s="16" t="s">
        <v>239</v>
      </c>
      <c r="E36" s="16" t="s">
        <v>355</v>
      </c>
      <c r="F36" s="16" t="s">
        <v>220</v>
      </c>
    </row>
    <row r="37" spans="1:6" x14ac:dyDescent="0.25">
      <c r="A37" s="16" t="s">
        <v>532</v>
      </c>
      <c r="B37" s="16" t="s">
        <v>534</v>
      </c>
      <c r="C37" s="16" t="s">
        <v>533</v>
      </c>
      <c r="D37" s="16" t="s">
        <v>220</v>
      </c>
      <c r="E37" s="16" t="s">
        <v>354</v>
      </c>
      <c r="F37" s="16" t="s">
        <v>238</v>
      </c>
    </row>
    <row r="38" spans="1:6" x14ac:dyDescent="0.25">
      <c r="A38" s="16" t="s">
        <v>535</v>
      </c>
      <c r="B38" s="16" t="s">
        <v>537</v>
      </c>
      <c r="C38" s="16" t="s">
        <v>536</v>
      </c>
      <c r="D38" s="16" t="s">
        <v>538</v>
      </c>
      <c r="E38" s="16" t="s">
        <v>356</v>
      </c>
      <c r="F38" s="16" t="s">
        <v>538</v>
      </c>
    </row>
    <row r="39" spans="1:6" x14ac:dyDescent="0.25">
      <c r="A39" s="16" t="s">
        <v>539</v>
      </c>
      <c r="B39" s="16" t="s">
        <v>541</v>
      </c>
      <c r="C39" s="16" t="s">
        <v>540</v>
      </c>
      <c r="D39" s="16" t="s">
        <v>354</v>
      </c>
      <c r="E39" s="16" t="s">
        <v>2160</v>
      </c>
      <c r="F39" s="16" t="s">
        <v>354</v>
      </c>
    </row>
    <row r="40" spans="1:6" x14ac:dyDescent="0.25">
      <c r="A40" s="16" t="s">
        <v>542</v>
      </c>
      <c r="B40" s="16" t="s">
        <v>544</v>
      </c>
      <c r="C40" s="16" t="s">
        <v>543</v>
      </c>
      <c r="D40" s="16" t="s">
        <v>355</v>
      </c>
      <c r="E40" s="16"/>
      <c r="F40" s="16"/>
    </row>
    <row r="41" spans="1:6" x14ac:dyDescent="0.25">
      <c r="A41" s="16" t="s">
        <v>545</v>
      </c>
      <c r="B41" s="16" t="s">
        <v>544</v>
      </c>
      <c r="C41" s="16" t="s">
        <v>543</v>
      </c>
      <c r="D41" s="16" t="s">
        <v>356</v>
      </c>
      <c r="E41" s="16" t="s">
        <v>751</v>
      </c>
      <c r="F41" s="16" t="s">
        <v>478</v>
      </c>
    </row>
    <row r="42" spans="1:6" x14ac:dyDescent="0.25">
      <c r="A42" s="16" t="s">
        <v>546</v>
      </c>
      <c r="B42" s="16" t="s">
        <v>548</v>
      </c>
      <c r="C42" s="16" t="s">
        <v>547</v>
      </c>
      <c r="D42" s="16" t="s">
        <v>549</v>
      </c>
      <c r="E42" s="16" t="s">
        <v>819</v>
      </c>
      <c r="F42" s="16" t="s">
        <v>333</v>
      </c>
    </row>
    <row r="43" spans="1:6" x14ac:dyDescent="0.25">
      <c r="A43" s="16" t="s">
        <v>550</v>
      </c>
      <c r="B43" s="16" t="s">
        <v>552</v>
      </c>
      <c r="C43" s="16" t="s">
        <v>551</v>
      </c>
      <c r="D43" s="16" t="s">
        <v>273</v>
      </c>
      <c r="E43" s="16" t="s">
        <v>364</v>
      </c>
      <c r="F43" s="16" t="s">
        <v>388</v>
      </c>
    </row>
    <row r="44" spans="1:6" x14ac:dyDescent="0.25">
      <c r="A44" s="16" t="s">
        <v>553</v>
      </c>
      <c r="B44" s="16" t="s">
        <v>555</v>
      </c>
      <c r="C44" s="16" t="s">
        <v>554</v>
      </c>
      <c r="D44" s="16" t="s">
        <v>556</v>
      </c>
      <c r="E44" s="16" t="s">
        <v>559</v>
      </c>
      <c r="F44" s="16" t="s">
        <v>556</v>
      </c>
    </row>
    <row r="45" spans="1:6" x14ac:dyDescent="0.25">
      <c r="A45" s="16" t="s">
        <v>557</v>
      </c>
      <c r="B45" s="16" t="s">
        <v>558</v>
      </c>
      <c r="C45" s="16" t="s">
        <v>245</v>
      </c>
      <c r="D45" s="16" t="s">
        <v>819</v>
      </c>
      <c r="E45" s="16" t="s">
        <v>709</v>
      </c>
      <c r="F45" s="16" t="s">
        <v>396</v>
      </c>
    </row>
    <row r="46" spans="1:6" x14ac:dyDescent="0.25">
      <c r="A46" s="16" t="s">
        <v>560</v>
      </c>
      <c r="B46" s="16" t="s">
        <v>436</v>
      </c>
      <c r="C46" s="16" t="s">
        <v>435</v>
      </c>
      <c r="D46" s="16" t="s">
        <v>561</v>
      </c>
      <c r="E46" s="16" t="s">
        <v>825</v>
      </c>
      <c r="F46" s="16" t="s">
        <v>561</v>
      </c>
    </row>
    <row r="47" spans="1:6" x14ac:dyDescent="0.25">
      <c r="A47" s="16" t="s">
        <v>562</v>
      </c>
      <c r="B47" s="16" t="s">
        <v>564</v>
      </c>
      <c r="C47" s="16" t="s">
        <v>563</v>
      </c>
      <c r="D47" s="16" t="s">
        <v>266</v>
      </c>
      <c r="E47" s="16" t="s">
        <v>236</v>
      </c>
      <c r="F47" s="16" t="s">
        <v>266</v>
      </c>
    </row>
    <row r="48" spans="1:6" x14ac:dyDescent="0.25">
      <c r="A48" s="16" t="s">
        <v>565</v>
      </c>
      <c r="B48" s="16" t="s">
        <v>567</v>
      </c>
      <c r="C48" s="16" t="s">
        <v>566</v>
      </c>
      <c r="D48" s="16" t="s">
        <v>568</v>
      </c>
      <c r="E48" s="16" t="s">
        <v>277</v>
      </c>
      <c r="F48" s="16" t="s">
        <v>568</v>
      </c>
    </row>
    <row r="49" spans="1:6" x14ac:dyDescent="0.25">
      <c r="A49" s="16" t="s">
        <v>569</v>
      </c>
      <c r="B49" s="16" t="s">
        <v>571</v>
      </c>
      <c r="C49" s="16" t="s">
        <v>570</v>
      </c>
      <c r="D49" s="16" t="s">
        <v>572</v>
      </c>
      <c r="E49" s="16" t="s">
        <v>716</v>
      </c>
      <c r="F49" s="16" t="s">
        <v>572</v>
      </c>
    </row>
    <row r="50" spans="1:6" x14ac:dyDescent="0.25">
      <c r="A50" s="16" t="s">
        <v>573</v>
      </c>
      <c r="B50" s="16" t="s">
        <v>575</v>
      </c>
      <c r="C50" s="16" t="s">
        <v>574</v>
      </c>
      <c r="D50" s="16" t="s">
        <v>576</v>
      </c>
      <c r="E50" s="16" t="s">
        <v>1037</v>
      </c>
      <c r="F50" s="16" t="s">
        <v>576</v>
      </c>
    </row>
    <row r="51" spans="1:6" x14ac:dyDescent="0.25">
      <c r="A51" s="16" t="s">
        <v>577</v>
      </c>
      <c r="B51" s="16" t="s">
        <v>579</v>
      </c>
      <c r="C51" s="16" t="s">
        <v>578</v>
      </c>
      <c r="D51" s="16" t="s">
        <v>2164</v>
      </c>
      <c r="E51" s="16" t="s">
        <v>222</v>
      </c>
      <c r="F51" s="16" t="s">
        <v>2164</v>
      </c>
    </row>
    <row r="52" spans="1:6" x14ac:dyDescent="0.25">
      <c r="A52" s="16" t="s">
        <v>580</v>
      </c>
      <c r="B52" s="16" t="s">
        <v>582</v>
      </c>
      <c r="C52" s="16" t="s">
        <v>581</v>
      </c>
      <c r="D52" s="16" t="s">
        <v>583</v>
      </c>
      <c r="E52" s="16"/>
      <c r="F52" s="16"/>
    </row>
    <row r="53" spans="1:6" x14ac:dyDescent="0.25">
      <c r="A53" s="16" t="s">
        <v>584</v>
      </c>
      <c r="B53" s="16" t="s">
        <v>586</v>
      </c>
      <c r="C53" s="16" t="s">
        <v>585</v>
      </c>
      <c r="D53" s="16" t="s">
        <v>311</v>
      </c>
      <c r="E53" s="16" t="s">
        <v>612</v>
      </c>
      <c r="F53" s="16" t="s">
        <v>311</v>
      </c>
    </row>
    <row r="54" spans="1:6" x14ac:dyDescent="0.25">
      <c r="A54" s="16" t="s">
        <v>587</v>
      </c>
      <c r="B54" s="16" t="s">
        <v>399</v>
      </c>
      <c r="C54" s="16" t="s">
        <v>398</v>
      </c>
      <c r="D54" s="16" t="s">
        <v>318</v>
      </c>
      <c r="E54" s="16" t="s">
        <v>518</v>
      </c>
      <c r="F54" s="16" t="s">
        <v>218</v>
      </c>
    </row>
    <row r="55" spans="1:6" x14ac:dyDescent="0.25">
      <c r="A55" s="16" t="s">
        <v>589</v>
      </c>
      <c r="B55" s="16" t="s">
        <v>591</v>
      </c>
      <c r="C55" s="16" t="s">
        <v>590</v>
      </c>
      <c r="D55" s="16" t="s">
        <v>277</v>
      </c>
      <c r="E55" s="16" t="s">
        <v>872</v>
      </c>
      <c r="F55" s="16" t="s">
        <v>412</v>
      </c>
    </row>
    <row r="56" spans="1:6" x14ac:dyDescent="0.25">
      <c r="A56" s="16" t="s">
        <v>592</v>
      </c>
      <c r="B56" s="16" t="s">
        <v>593</v>
      </c>
      <c r="C56" s="16" t="s">
        <v>233</v>
      </c>
      <c r="D56" s="16" t="s">
        <v>281</v>
      </c>
      <c r="E56" s="16" t="s">
        <v>877</v>
      </c>
      <c r="F56" s="16" t="s">
        <v>281</v>
      </c>
    </row>
    <row r="57" spans="1:6" x14ac:dyDescent="0.25">
      <c r="A57" s="16" t="s">
        <v>594</v>
      </c>
      <c r="B57" s="16" t="s">
        <v>596</v>
      </c>
      <c r="C57" s="16" t="s">
        <v>595</v>
      </c>
      <c r="D57" s="16" t="s">
        <v>294</v>
      </c>
      <c r="E57" s="16" t="s">
        <v>928</v>
      </c>
      <c r="F57" s="16" t="s">
        <v>597</v>
      </c>
    </row>
    <row r="58" spans="1:6" x14ac:dyDescent="0.25">
      <c r="A58" s="16" t="s">
        <v>598</v>
      </c>
      <c r="B58" s="16" t="s">
        <v>600</v>
      </c>
      <c r="C58" s="16" t="s">
        <v>599</v>
      </c>
      <c r="D58" s="16" t="s">
        <v>349</v>
      </c>
      <c r="E58" s="16" t="s">
        <v>353</v>
      </c>
      <c r="F58" s="16" t="s">
        <v>496</v>
      </c>
    </row>
    <row r="59" spans="1:6" x14ac:dyDescent="0.25">
      <c r="A59" s="16" t="s">
        <v>601</v>
      </c>
      <c r="B59" s="16" t="s">
        <v>603</v>
      </c>
      <c r="C59" s="16" t="s">
        <v>602</v>
      </c>
      <c r="D59" s="16" t="s">
        <v>604</v>
      </c>
      <c r="E59" s="16" t="s">
        <v>2165</v>
      </c>
      <c r="F59" s="16" t="s">
        <v>604</v>
      </c>
    </row>
    <row r="60" spans="1:6" x14ac:dyDescent="0.25">
      <c r="A60" s="16" t="s">
        <v>605</v>
      </c>
      <c r="B60" s="16" t="s">
        <v>607</v>
      </c>
      <c r="C60" s="16" t="s">
        <v>606</v>
      </c>
      <c r="D60" s="16" t="s">
        <v>608</v>
      </c>
      <c r="E60" s="16" t="s">
        <v>2166</v>
      </c>
      <c r="F60" s="16" t="s">
        <v>608</v>
      </c>
    </row>
    <row r="61" spans="1:6" x14ac:dyDescent="0.25">
      <c r="A61" s="16" t="s">
        <v>609</v>
      </c>
      <c r="B61" s="16" t="s">
        <v>611</v>
      </c>
      <c r="C61" s="16" t="s">
        <v>610</v>
      </c>
      <c r="D61" s="16" t="s">
        <v>612</v>
      </c>
      <c r="E61" s="16" t="s">
        <v>325</v>
      </c>
      <c r="F61" s="16" t="s">
        <v>612</v>
      </c>
    </row>
    <row r="62" spans="1:6" x14ac:dyDescent="0.25">
      <c r="A62" s="16" t="s">
        <v>613</v>
      </c>
      <c r="B62" s="16" t="s">
        <v>615</v>
      </c>
      <c r="C62" s="16" t="s">
        <v>614</v>
      </c>
      <c r="D62" s="16" t="s">
        <v>616</v>
      </c>
      <c r="E62" s="16" t="s">
        <v>996</v>
      </c>
      <c r="F62" s="16" t="s">
        <v>618</v>
      </c>
    </row>
    <row r="63" spans="1:6" x14ac:dyDescent="0.25">
      <c r="A63" s="16" t="s">
        <v>617</v>
      </c>
      <c r="B63" s="16" t="s">
        <v>615</v>
      </c>
      <c r="C63" s="16" t="s">
        <v>614</v>
      </c>
      <c r="D63" s="16" t="s">
        <v>618</v>
      </c>
      <c r="E63" s="16" t="s">
        <v>281</v>
      </c>
      <c r="F63" s="16" t="s">
        <v>616</v>
      </c>
    </row>
    <row r="64" spans="1:6" x14ac:dyDescent="0.25">
      <c r="A64" s="16" t="s">
        <v>619</v>
      </c>
      <c r="B64" s="16" t="s">
        <v>621</v>
      </c>
      <c r="C64" s="16" t="s">
        <v>620</v>
      </c>
      <c r="D64" s="16" t="s">
        <v>622</v>
      </c>
      <c r="E64" s="16" t="s">
        <v>441</v>
      </c>
      <c r="F64" s="16" t="s">
        <v>2167</v>
      </c>
    </row>
    <row r="65" spans="1:6" x14ac:dyDescent="0.25">
      <c r="A65" s="16" t="s">
        <v>623</v>
      </c>
      <c r="B65" s="16" t="s">
        <v>625</v>
      </c>
      <c r="C65" s="16" t="s">
        <v>624</v>
      </c>
      <c r="D65" s="16" t="s">
        <v>549</v>
      </c>
      <c r="E65" s="16" t="s">
        <v>445</v>
      </c>
      <c r="F65" s="16" t="s">
        <v>549</v>
      </c>
    </row>
    <row r="66" spans="1:6" x14ac:dyDescent="0.25">
      <c r="A66" s="16" t="s">
        <v>626</v>
      </c>
      <c r="B66" s="16" t="s">
        <v>627</v>
      </c>
      <c r="C66" s="16" t="s">
        <v>229</v>
      </c>
      <c r="D66" s="16" t="s">
        <v>412</v>
      </c>
      <c r="E66" s="16" t="s">
        <v>337</v>
      </c>
      <c r="F66" s="16" t="s">
        <v>2168</v>
      </c>
    </row>
    <row r="67" spans="1:6" x14ac:dyDescent="0.25">
      <c r="A67" s="16" t="s">
        <v>628</v>
      </c>
      <c r="B67" s="16" t="s">
        <v>630</v>
      </c>
      <c r="C67" s="16" t="s">
        <v>629</v>
      </c>
      <c r="D67" s="16" t="s">
        <v>320</v>
      </c>
      <c r="E67" s="16"/>
      <c r="F67" s="16"/>
    </row>
    <row r="68" spans="1:6" x14ac:dyDescent="0.25">
      <c r="A68" s="16" t="s">
        <v>631</v>
      </c>
      <c r="B68" s="16" t="s">
        <v>633</v>
      </c>
      <c r="C68" s="16" t="s">
        <v>632</v>
      </c>
      <c r="D68" s="16" t="s">
        <v>364</v>
      </c>
      <c r="E68" s="16" t="s">
        <v>373</v>
      </c>
      <c r="F68" s="16" t="s">
        <v>364</v>
      </c>
    </row>
    <row r="69" spans="1:6" x14ac:dyDescent="0.25">
      <c r="A69" s="16" t="s">
        <v>634</v>
      </c>
      <c r="B69" s="16" t="s">
        <v>636</v>
      </c>
      <c r="C69" s="16" t="s">
        <v>635</v>
      </c>
      <c r="D69" s="16" t="s">
        <v>637</v>
      </c>
      <c r="E69" s="16" t="s">
        <v>657</v>
      </c>
      <c r="F69" s="16" t="s">
        <v>637</v>
      </c>
    </row>
    <row r="70" spans="1:6" x14ac:dyDescent="0.25">
      <c r="A70" s="16" t="s">
        <v>638</v>
      </c>
      <c r="B70" s="16" t="s">
        <v>640</v>
      </c>
      <c r="C70" s="16" t="s">
        <v>639</v>
      </c>
      <c r="D70" s="16" t="s">
        <v>597</v>
      </c>
      <c r="E70" s="16" t="s">
        <v>743</v>
      </c>
      <c r="F70" s="16" t="s">
        <v>800</v>
      </c>
    </row>
    <row r="71" spans="1:6" x14ac:dyDescent="0.25">
      <c r="A71" s="16" t="s">
        <v>641</v>
      </c>
      <c r="B71" s="16" t="s">
        <v>643</v>
      </c>
      <c r="C71" s="16" t="s">
        <v>642</v>
      </c>
      <c r="D71" s="16" t="s">
        <v>358</v>
      </c>
      <c r="E71" s="16"/>
      <c r="F71" s="16"/>
    </row>
    <row r="72" spans="1:6" x14ac:dyDescent="0.25">
      <c r="A72" s="16" t="s">
        <v>644</v>
      </c>
      <c r="B72" s="16" t="s">
        <v>646</v>
      </c>
      <c r="C72" s="16" t="s">
        <v>645</v>
      </c>
      <c r="D72" s="16" t="s">
        <v>647</v>
      </c>
      <c r="E72" s="16"/>
      <c r="F72" s="16"/>
    </row>
    <row r="73" spans="1:6" x14ac:dyDescent="0.25">
      <c r="A73" s="16" t="s">
        <v>648</v>
      </c>
      <c r="B73" s="16" t="s">
        <v>2169</v>
      </c>
      <c r="C73" s="16" t="s">
        <v>649</v>
      </c>
      <c r="D73" s="16" t="s">
        <v>2161</v>
      </c>
      <c r="E73" s="16" t="s">
        <v>2170</v>
      </c>
      <c r="F73" s="16" t="s">
        <v>650</v>
      </c>
    </row>
    <row r="74" spans="1:6" x14ac:dyDescent="0.25">
      <c r="A74" s="16" t="s">
        <v>651</v>
      </c>
      <c r="B74" s="16" t="s">
        <v>653</v>
      </c>
      <c r="C74" s="16" t="s">
        <v>652</v>
      </c>
      <c r="D74" s="16" t="s">
        <v>2171</v>
      </c>
      <c r="E74" s="16" t="s">
        <v>661</v>
      </c>
      <c r="F74" s="16" t="s">
        <v>522</v>
      </c>
    </row>
    <row r="75" spans="1:6" x14ac:dyDescent="0.25">
      <c r="A75" s="16" t="s">
        <v>654</v>
      </c>
      <c r="B75" s="16" t="s">
        <v>656</v>
      </c>
      <c r="C75" s="16" t="s">
        <v>655</v>
      </c>
      <c r="D75" s="16" t="s">
        <v>1012</v>
      </c>
      <c r="E75" s="16" t="s">
        <v>2168</v>
      </c>
      <c r="F75" s="16" t="s">
        <v>1012</v>
      </c>
    </row>
    <row r="76" spans="1:6" x14ac:dyDescent="0.25">
      <c r="A76" s="16" t="s">
        <v>658</v>
      </c>
      <c r="B76" s="16" t="s">
        <v>660</v>
      </c>
      <c r="C76" s="16" t="s">
        <v>659</v>
      </c>
      <c r="D76" s="16" t="s">
        <v>343</v>
      </c>
      <c r="E76" s="16" t="s">
        <v>926</v>
      </c>
      <c r="F76" s="16" t="s">
        <v>906</v>
      </c>
    </row>
    <row r="77" spans="1:6" x14ac:dyDescent="0.25">
      <c r="A77" s="16" t="s">
        <v>662</v>
      </c>
      <c r="B77" s="16" t="s">
        <v>664</v>
      </c>
      <c r="C77" s="16" t="s">
        <v>663</v>
      </c>
      <c r="D77" s="16" t="s">
        <v>665</v>
      </c>
      <c r="E77" s="16" t="s">
        <v>2172</v>
      </c>
      <c r="F77" s="16" t="s">
        <v>665</v>
      </c>
    </row>
    <row r="78" spans="1:6" x14ac:dyDescent="0.25">
      <c r="A78" s="16" t="s">
        <v>666</v>
      </c>
      <c r="B78" s="16" t="s">
        <v>668</v>
      </c>
      <c r="C78" s="16" t="s">
        <v>667</v>
      </c>
      <c r="D78" s="16" t="s">
        <v>559</v>
      </c>
      <c r="E78" s="16" t="s">
        <v>1002</v>
      </c>
      <c r="F78" s="16" t="s">
        <v>559</v>
      </c>
    </row>
    <row r="79" spans="1:6" x14ac:dyDescent="0.25">
      <c r="A79" s="16" t="s">
        <v>670</v>
      </c>
      <c r="B79" s="16" t="s">
        <v>672</v>
      </c>
      <c r="C79" s="16" t="s">
        <v>671</v>
      </c>
      <c r="D79" s="16" t="s">
        <v>262</v>
      </c>
      <c r="E79" s="16" t="s">
        <v>622</v>
      </c>
      <c r="F79" s="16" t="s">
        <v>1037</v>
      </c>
    </row>
    <row r="80" spans="1:6" x14ac:dyDescent="0.25">
      <c r="A80" s="16" t="s">
        <v>674</v>
      </c>
      <c r="B80" s="16" t="s">
        <v>676</v>
      </c>
      <c r="C80" s="16" t="s">
        <v>675</v>
      </c>
      <c r="D80" s="16" t="s">
        <v>396</v>
      </c>
      <c r="E80" s="16"/>
      <c r="F80" s="16"/>
    </row>
    <row r="81" spans="1:6" x14ac:dyDescent="0.25">
      <c r="A81" s="16" t="s">
        <v>677</v>
      </c>
      <c r="B81" s="16" t="s">
        <v>679</v>
      </c>
      <c r="C81" s="16" t="s">
        <v>678</v>
      </c>
      <c r="D81" s="16" t="s">
        <v>680</v>
      </c>
      <c r="E81" s="16" t="s">
        <v>804</v>
      </c>
      <c r="F81" s="16" t="s">
        <v>2123</v>
      </c>
    </row>
    <row r="82" spans="1:6" x14ac:dyDescent="0.25">
      <c r="A82" s="16" t="s">
        <v>681</v>
      </c>
      <c r="B82" s="16" t="s">
        <v>683</v>
      </c>
      <c r="C82" s="16" t="s">
        <v>682</v>
      </c>
      <c r="D82" s="16" t="s">
        <v>906</v>
      </c>
      <c r="E82" s="16" t="s">
        <v>869</v>
      </c>
      <c r="F82" s="16" t="s">
        <v>918</v>
      </c>
    </row>
    <row r="83" spans="1:6" x14ac:dyDescent="0.25">
      <c r="A83" s="16" t="s">
        <v>684</v>
      </c>
      <c r="B83" s="16" t="s">
        <v>548</v>
      </c>
      <c r="C83" s="16" t="s">
        <v>547</v>
      </c>
      <c r="D83" s="16" t="s">
        <v>333</v>
      </c>
      <c r="E83" s="16" t="s">
        <v>1004</v>
      </c>
      <c r="F83" s="16" t="s">
        <v>819</v>
      </c>
    </row>
    <row r="84" spans="1:6" x14ac:dyDescent="0.25">
      <c r="A84" s="16" t="s">
        <v>685</v>
      </c>
      <c r="B84" s="16" t="s">
        <v>686</v>
      </c>
      <c r="C84" s="16" t="s">
        <v>215</v>
      </c>
      <c r="D84" s="16" t="s">
        <v>14</v>
      </c>
      <c r="E84" s="16" t="s">
        <v>14</v>
      </c>
      <c r="F84" s="16" t="s">
        <v>14</v>
      </c>
    </row>
    <row r="85" spans="1:6" x14ac:dyDescent="0.25">
      <c r="A85" s="16" t="s">
        <v>687</v>
      </c>
      <c r="B85" s="16" t="s">
        <v>689</v>
      </c>
      <c r="C85" s="16" t="s">
        <v>688</v>
      </c>
      <c r="D85" s="16" t="s">
        <v>690</v>
      </c>
      <c r="E85" s="16" t="s">
        <v>240</v>
      </c>
      <c r="F85" s="16" t="s">
        <v>690</v>
      </c>
    </row>
    <row r="86" spans="1:6" x14ac:dyDescent="0.25">
      <c r="A86" s="16" t="s">
        <v>691</v>
      </c>
      <c r="B86" s="16" t="s">
        <v>693</v>
      </c>
      <c r="C86" s="16" t="s">
        <v>692</v>
      </c>
      <c r="D86" s="16" t="s">
        <v>282</v>
      </c>
      <c r="E86" s="16" t="s">
        <v>218</v>
      </c>
      <c r="F86" s="16" t="s">
        <v>351</v>
      </c>
    </row>
    <row r="87" spans="1:6" x14ac:dyDescent="0.25">
      <c r="A87" s="16" t="s">
        <v>694</v>
      </c>
      <c r="B87" s="16" t="s">
        <v>548</v>
      </c>
      <c r="C87" s="16" t="s">
        <v>547</v>
      </c>
      <c r="D87" s="16" t="s">
        <v>331</v>
      </c>
      <c r="E87" s="16" t="s">
        <v>214</v>
      </c>
      <c r="F87" s="16" t="s">
        <v>2173</v>
      </c>
    </row>
    <row r="88" spans="1:6" x14ac:dyDescent="0.25">
      <c r="A88" s="16" t="s">
        <v>695</v>
      </c>
      <c r="B88" s="16" t="s">
        <v>697</v>
      </c>
      <c r="C88" s="16" t="s">
        <v>696</v>
      </c>
      <c r="D88" s="16" t="s">
        <v>338</v>
      </c>
      <c r="E88" s="16" t="s">
        <v>2159</v>
      </c>
      <c r="F88" s="16" t="s">
        <v>338</v>
      </c>
    </row>
    <row r="89" spans="1:6" x14ac:dyDescent="0.25">
      <c r="A89" s="16" t="s">
        <v>699</v>
      </c>
      <c r="B89" s="16" t="s">
        <v>701</v>
      </c>
      <c r="C89" s="16" t="s">
        <v>700</v>
      </c>
      <c r="D89" s="16" t="s">
        <v>702</v>
      </c>
      <c r="E89" s="16" t="s">
        <v>2105</v>
      </c>
      <c r="F89" s="16" t="s">
        <v>702</v>
      </c>
    </row>
    <row r="90" spans="1:6" x14ac:dyDescent="0.25">
      <c r="A90" s="16" t="s">
        <v>703</v>
      </c>
      <c r="B90" s="16" t="s">
        <v>705</v>
      </c>
      <c r="C90" s="16" t="s">
        <v>704</v>
      </c>
      <c r="D90" s="16" t="s">
        <v>706</v>
      </c>
      <c r="E90" s="16" t="s">
        <v>885</v>
      </c>
      <c r="F90" s="16" t="s">
        <v>706</v>
      </c>
    </row>
    <row r="91" spans="1:6" x14ac:dyDescent="0.25">
      <c r="A91" s="16" t="s">
        <v>707</v>
      </c>
      <c r="B91" s="16" t="s">
        <v>708</v>
      </c>
      <c r="C91" s="16" t="s">
        <v>232</v>
      </c>
      <c r="D91" s="16" t="s">
        <v>709</v>
      </c>
      <c r="E91" s="16" t="s">
        <v>2174</v>
      </c>
      <c r="F91" s="16" t="s">
        <v>709</v>
      </c>
    </row>
    <row r="92" spans="1:6" x14ac:dyDescent="0.25">
      <c r="A92" s="16" t="s">
        <v>710</v>
      </c>
      <c r="B92" s="16" t="s">
        <v>712</v>
      </c>
      <c r="C92" s="16" t="s">
        <v>711</v>
      </c>
      <c r="D92" s="16" t="s">
        <v>329</v>
      </c>
      <c r="E92" s="16" t="s">
        <v>223</v>
      </c>
      <c r="F92" s="16" t="s">
        <v>329</v>
      </c>
    </row>
    <row r="93" spans="1:6" x14ac:dyDescent="0.25">
      <c r="A93" s="16" t="s">
        <v>713</v>
      </c>
      <c r="B93" s="16" t="s">
        <v>715</v>
      </c>
      <c r="C93" s="16" t="s">
        <v>714</v>
      </c>
      <c r="D93" s="16" t="s">
        <v>716</v>
      </c>
      <c r="E93" s="16" t="s">
        <v>293</v>
      </c>
      <c r="F93" s="16" t="s">
        <v>716</v>
      </c>
    </row>
    <row r="94" spans="1:6" x14ac:dyDescent="0.25">
      <c r="A94" s="16" t="s">
        <v>717</v>
      </c>
      <c r="B94" s="16" t="s">
        <v>719</v>
      </c>
      <c r="C94" s="16" t="s">
        <v>718</v>
      </c>
      <c r="D94" s="16" t="s">
        <v>299</v>
      </c>
      <c r="E94" s="16"/>
      <c r="F94" s="16"/>
    </row>
    <row r="95" spans="1:6" x14ac:dyDescent="0.25">
      <c r="A95" s="16" t="s">
        <v>720</v>
      </c>
      <c r="B95" s="16" t="s">
        <v>722</v>
      </c>
      <c r="C95" s="16" t="s">
        <v>721</v>
      </c>
      <c r="D95" s="16" t="s">
        <v>236</v>
      </c>
      <c r="E95" s="16" t="s">
        <v>262</v>
      </c>
      <c r="F95" s="16" t="s">
        <v>236</v>
      </c>
    </row>
    <row r="96" spans="1:6" x14ac:dyDescent="0.25">
      <c r="A96" s="16" t="s">
        <v>723</v>
      </c>
      <c r="B96" s="16" t="s">
        <v>215</v>
      </c>
      <c r="C96" s="16" t="s">
        <v>724</v>
      </c>
      <c r="D96" s="16" t="s">
        <v>725</v>
      </c>
      <c r="E96" s="16" t="s">
        <v>292</v>
      </c>
      <c r="F96" s="16" t="s">
        <v>725</v>
      </c>
    </row>
    <row r="97" spans="1:6" x14ac:dyDescent="0.25">
      <c r="A97" s="16" t="s">
        <v>726</v>
      </c>
      <c r="B97" s="16" t="s">
        <v>728</v>
      </c>
      <c r="C97" s="16" t="s">
        <v>727</v>
      </c>
      <c r="D97" s="16" t="s">
        <v>729</v>
      </c>
      <c r="E97" s="16" t="s">
        <v>217</v>
      </c>
      <c r="F97" s="16" t="s">
        <v>729</v>
      </c>
    </row>
    <row r="98" spans="1:6" x14ac:dyDescent="0.25">
      <c r="A98" s="16" t="s">
        <v>730</v>
      </c>
      <c r="B98" s="16" t="s">
        <v>732</v>
      </c>
      <c r="C98" s="16" t="s">
        <v>731</v>
      </c>
      <c r="D98" s="16" t="s">
        <v>733</v>
      </c>
      <c r="E98" s="16" t="s">
        <v>604</v>
      </c>
      <c r="F98" s="16" t="s">
        <v>334</v>
      </c>
    </row>
    <row r="99" spans="1:6" x14ac:dyDescent="0.25">
      <c r="A99" s="16" t="s">
        <v>734</v>
      </c>
      <c r="B99" s="16" t="s">
        <v>736</v>
      </c>
      <c r="C99" s="16" t="s">
        <v>735</v>
      </c>
      <c r="D99" s="16" t="s">
        <v>225</v>
      </c>
      <c r="E99" s="16" t="s">
        <v>792</v>
      </c>
      <c r="F99" s="16" t="s">
        <v>511</v>
      </c>
    </row>
    <row r="100" spans="1:6" x14ac:dyDescent="0.25">
      <c r="A100" s="16" t="s">
        <v>737</v>
      </c>
      <c r="B100" s="16" t="s">
        <v>738</v>
      </c>
      <c r="C100" s="16" t="s">
        <v>298</v>
      </c>
      <c r="D100" s="16" t="s">
        <v>14</v>
      </c>
      <c r="E100" s="16" t="s">
        <v>2175</v>
      </c>
      <c r="F100" s="16" t="s">
        <v>433</v>
      </c>
    </row>
    <row r="101" spans="1:6" x14ac:dyDescent="0.25">
      <c r="A101" s="16" t="s">
        <v>739</v>
      </c>
      <c r="B101" s="16" t="s">
        <v>741</v>
      </c>
      <c r="C101" s="16" t="s">
        <v>740</v>
      </c>
      <c r="D101" s="16" t="s">
        <v>261</v>
      </c>
      <c r="E101" s="16" t="s">
        <v>344</v>
      </c>
      <c r="F101" s="16" t="s">
        <v>261</v>
      </c>
    </row>
    <row r="102" spans="1:6" x14ac:dyDescent="0.25">
      <c r="A102" s="16" t="s">
        <v>742</v>
      </c>
      <c r="B102" s="16" t="s">
        <v>567</v>
      </c>
      <c r="C102" s="16" t="s">
        <v>566</v>
      </c>
      <c r="D102" s="16" t="s">
        <v>743</v>
      </c>
      <c r="E102" s="16" t="s">
        <v>981</v>
      </c>
      <c r="F102" s="16" t="s">
        <v>743</v>
      </c>
    </row>
    <row r="103" spans="1:6" x14ac:dyDescent="0.25">
      <c r="A103" s="16" t="s">
        <v>744</v>
      </c>
      <c r="B103" s="16" t="s">
        <v>746</v>
      </c>
      <c r="C103" s="16" t="s">
        <v>745</v>
      </c>
      <c r="D103" s="16" t="s">
        <v>747</v>
      </c>
      <c r="E103" s="16" t="s">
        <v>462</v>
      </c>
      <c r="F103" s="16" t="s">
        <v>747</v>
      </c>
    </row>
    <row r="104" spans="1:6" x14ac:dyDescent="0.25">
      <c r="A104" s="16" t="s">
        <v>748</v>
      </c>
      <c r="B104" s="16" t="s">
        <v>750</v>
      </c>
      <c r="C104" s="16" t="s">
        <v>749</v>
      </c>
      <c r="D104" s="16" t="s">
        <v>2105</v>
      </c>
      <c r="E104" s="16" t="s">
        <v>332</v>
      </c>
      <c r="F104" s="16" t="s">
        <v>2105</v>
      </c>
    </row>
    <row r="105" spans="1:6" x14ac:dyDescent="0.25">
      <c r="A105" s="16" t="s">
        <v>752</v>
      </c>
      <c r="B105" s="16" t="s">
        <v>754</v>
      </c>
      <c r="C105" s="16" t="s">
        <v>753</v>
      </c>
      <c r="D105" s="16" t="s">
        <v>755</v>
      </c>
      <c r="E105" s="16" t="s">
        <v>525</v>
      </c>
      <c r="F105" s="16" t="s">
        <v>755</v>
      </c>
    </row>
    <row r="106" spans="1:6" x14ac:dyDescent="0.25">
      <c r="A106" s="16" t="s">
        <v>756</v>
      </c>
      <c r="B106" s="16" t="s">
        <v>758</v>
      </c>
      <c r="C106" s="16" t="s">
        <v>757</v>
      </c>
      <c r="D106" s="16" t="s">
        <v>759</v>
      </c>
      <c r="E106" s="16" t="s">
        <v>433</v>
      </c>
      <c r="F106" s="16" t="s">
        <v>759</v>
      </c>
    </row>
    <row r="107" spans="1:6" x14ac:dyDescent="0.25">
      <c r="A107" s="16" t="s">
        <v>760</v>
      </c>
      <c r="B107" s="16" t="s">
        <v>762</v>
      </c>
      <c r="C107" s="16" t="s">
        <v>761</v>
      </c>
      <c r="D107" s="16" t="s">
        <v>763</v>
      </c>
      <c r="E107" s="16" t="s">
        <v>823</v>
      </c>
      <c r="F107" s="16" t="s">
        <v>647</v>
      </c>
    </row>
    <row r="108" spans="1:6" x14ac:dyDescent="0.25">
      <c r="A108" s="16" t="s">
        <v>764</v>
      </c>
      <c r="B108" s="16" t="s">
        <v>621</v>
      </c>
      <c r="C108" s="16" t="s">
        <v>620</v>
      </c>
      <c r="D108" s="16" t="s">
        <v>315</v>
      </c>
      <c r="E108" s="16" t="s">
        <v>474</v>
      </c>
      <c r="F108" s="16" t="s">
        <v>315</v>
      </c>
    </row>
    <row r="109" spans="1:6" x14ac:dyDescent="0.25">
      <c r="A109" s="16" t="s">
        <v>765</v>
      </c>
      <c r="B109" s="16" t="s">
        <v>767</v>
      </c>
      <c r="C109" s="16" t="s">
        <v>766</v>
      </c>
      <c r="D109" s="16" t="s">
        <v>423</v>
      </c>
      <c r="E109" s="16" t="s">
        <v>576</v>
      </c>
      <c r="F109" s="16" t="s">
        <v>698</v>
      </c>
    </row>
    <row r="110" spans="1:6" x14ac:dyDescent="0.25">
      <c r="A110" s="16" t="s">
        <v>768</v>
      </c>
      <c r="B110" s="16" t="s">
        <v>770</v>
      </c>
      <c r="C110" s="16" t="s">
        <v>769</v>
      </c>
      <c r="D110" s="16" t="s">
        <v>341</v>
      </c>
      <c r="E110" s="16" t="s">
        <v>2176</v>
      </c>
      <c r="F110" s="16" t="s">
        <v>897</v>
      </c>
    </row>
    <row r="111" spans="1:6" x14ac:dyDescent="0.25">
      <c r="A111" s="16" t="s">
        <v>771</v>
      </c>
      <c r="B111" s="16" t="s">
        <v>773</v>
      </c>
      <c r="C111" s="16" t="s">
        <v>772</v>
      </c>
      <c r="D111" s="16" t="s">
        <v>295</v>
      </c>
      <c r="E111" s="16" t="s">
        <v>336</v>
      </c>
      <c r="F111" s="16" t="s">
        <v>295</v>
      </c>
    </row>
    <row r="112" spans="1:6" x14ac:dyDescent="0.25">
      <c r="A112" s="16" t="s">
        <v>774</v>
      </c>
      <c r="B112" s="16" t="s">
        <v>776</v>
      </c>
      <c r="C112" s="16" t="s">
        <v>775</v>
      </c>
      <c r="D112" s="16" t="s">
        <v>388</v>
      </c>
      <c r="E112" s="16" t="s">
        <v>273</v>
      </c>
      <c r="F112" s="16" t="s">
        <v>227</v>
      </c>
    </row>
    <row r="113" spans="1:6" x14ac:dyDescent="0.25">
      <c r="A113" s="16" t="s">
        <v>777</v>
      </c>
      <c r="B113" s="16" t="s">
        <v>779</v>
      </c>
      <c r="C113" s="16" t="s">
        <v>778</v>
      </c>
      <c r="D113" s="16" t="s">
        <v>227</v>
      </c>
      <c r="E113" s="16"/>
      <c r="F113" s="16"/>
    </row>
    <row r="114" spans="1:6" x14ac:dyDescent="0.25">
      <c r="A114" s="16" t="s">
        <v>780</v>
      </c>
      <c r="B114" s="16" t="s">
        <v>782</v>
      </c>
      <c r="C114" s="16" t="s">
        <v>781</v>
      </c>
      <c r="D114" s="16" t="s">
        <v>783</v>
      </c>
      <c r="E114" s="16" t="s">
        <v>2164</v>
      </c>
      <c r="F114" s="16" t="s">
        <v>783</v>
      </c>
    </row>
    <row r="115" spans="1:6" x14ac:dyDescent="0.25">
      <c r="A115" s="16" t="s">
        <v>784</v>
      </c>
      <c r="B115" s="16" t="s">
        <v>782</v>
      </c>
      <c r="C115" s="16" t="s">
        <v>781</v>
      </c>
      <c r="D115" s="16" t="s">
        <v>785</v>
      </c>
      <c r="E115" s="16" t="s">
        <v>335</v>
      </c>
      <c r="F115" s="16" t="s">
        <v>2177</v>
      </c>
    </row>
    <row r="116" spans="1:6" x14ac:dyDescent="0.25">
      <c r="A116" s="16" t="s">
        <v>786</v>
      </c>
      <c r="B116" s="16" t="s">
        <v>788</v>
      </c>
      <c r="C116" s="16" t="s">
        <v>787</v>
      </c>
      <c r="D116" s="16" t="s">
        <v>373</v>
      </c>
      <c r="E116" s="16" t="s">
        <v>853</v>
      </c>
      <c r="F116" s="16" t="s">
        <v>373</v>
      </c>
    </row>
    <row r="117" spans="1:6" x14ac:dyDescent="0.25">
      <c r="A117" s="16" t="s">
        <v>789</v>
      </c>
      <c r="B117" s="16" t="s">
        <v>791</v>
      </c>
      <c r="C117" s="16" t="s">
        <v>790</v>
      </c>
      <c r="D117" s="16" t="s">
        <v>792</v>
      </c>
      <c r="E117" s="16" t="s">
        <v>2178</v>
      </c>
      <c r="F117" s="16" t="s">
        <v>353</v>
      </c>
    </row>
    <row r="118" spans="1:6" x14ac:dyDescent="0.25">
      <c r="A118" s="16" t="s">
        <v>793</v>
      </c>
      <c r="B118" s="16" t="s">
        <v>795</v>
      </c>
      <c r="C118" s="16" t="s">
        <v>794</v>
      </c>
      <c r="D118" s="16" t="s">
        <v>796</v>
      </c>
      <c r="E118" s="16" t="s">
        <v>310</v>
      </c>
      <c r="F118" s="16" t="s">
        <v>222</v>
      </c>
    </row>
    <row r="119" spans="1:6" x14ac:dyDescent="0.25">
      <c r="A119" s="16" t="s">
        <v>797</v>
      </c>
      <c r="B119" s="16" t="s">
        <v>799</v>
      </c>
      <c r="C119" s="16" t="s">
        <v>798</v>
      </c>
      <c r="D119" s="16" t="s">
        <v>800</v>
      </c>
      <c r="E119" s="16" t="s">
        <v>568</v>
      </c>
      <c r="F119" s="16" t="s">
        <v>926</v>
      </c>
    </row>
    <row r="120" spans="1:6" x14ac:dyDescent="0.25">
      <c r="A120" s="16" t="s">
        <v>801</v>
      </c>
      <c r="B120" s="16" t="s">
        <v>803</v>
      </c>
      <c r="C120" s="16" t="s">
        <v>802</v>
      </c>
      <c r="D120" s="16" t="s">
        <v>14</v>
      </c>
      <c r="E120" s="16" t="s">
        <v>2179</v>
      </c>
      <c r="F120" s="16" t="s">
        <v>804</v>
      </c>
    </row>
    <row r="121" spans="1:6" x14ac:dyDescent="0.25">
      <c r="A121" s="16" t="s">
        <v>805</v>
      </c>
      <c r="B121" s="16" t="s">
        <v>807</v>
      </c>
      <c r="C121" s="16" t="s">
        <v>806</v>
      </c>
      <c r="D121" s="16" t="s">
        <v>808</v>
      </c>
      <c r="E121" s="16" t="s">
        <v>2180</v>
      </c>
      <c r="F121" s="16" t="s">
        <v>808</v>
      </c>
    </row>
    <row r="122" spans="1:6" x14ac:dyDescent="0.25">
      <c r="A122" s="16" t="s">
        <v>809</v>
      </c>
      <c r="B122" s="16" t="s">
        <v>810</v>
      </c>
      <c r="C122" s="16" t="s">
        <v>588</v>
      </c>
      <c r="D122" s="16" t="s">
        <v>319</v>
      </c>
      <c r="E122" s="16" t="s">
        <v>690</v>
      </c>
      <c r="F122" s="16" t="s">
        <v>319</v>
      </c>
    </row>
    <row r="123" spans="1:6" x14ac:dyDescent="0.25">
      <c r="A123" s="16" t="s">
        <v>811</v>
      </c>
      <c r="B123" s="16" t="s">
        <v>813</v>
      </c>
      <c r="C123" s="16" t="s">
        <v>812</v>
      </c>
      <c r="D123" s="16" t="s">
        <v>814</v>
      </c>
      <c r="E123" s="16" t="s">
        <v>729</v>
      </c>
      <c r="F123" s="16" t="s">
        <v>814</v>
      </c>
    </row>
    <row r="124" spans="1:6" x14ac:dyDescent="0.25">
      <c r="A124" s="16" t="s">
        <v>815</v>
      </c>
      <c r="B124" s="16" t="s">
        <v>510</v>
      </c>
      <c r="C124" s="16" t="s">
        <v>509</v>
      </c>
      <c r="D124" s="16" t="s">
        <v>680</v>
      </c>
      <c r="E124" s="16" t="s">
        <v>1065</v>
      </c>
      <c r="F124" s="16" t="s">
        <v>2181</v>
      </c>
    </row>
    <row r="125" spans="1:6" x14ac:dyDescent="0.25">
      <c r="A125" s="16" t="s">
        <v>816</v>
      </c>
      <c r="B125" s="16" t="s">
        <v>818</v>
      </c>
      <c r="C125" s="16" t="s">
        <v>817</v>
      </c>
      <c r="D125" s="16" t="s">
        <v>819</v>
      </c>
      <c r="E125" s="16" t="s">
        <v>858</v>
      </c>
      <c r="F125" s="16" t="s">
        <v>331</v>
      </c>
    </row>
    <row r="126" spans="1:6" x14ac:dyDescent="0.25">
      <c r="A126" s="16" t="s">
        <v>820</v>
      </c>
      <c r="B126" s="16" t="s">
        <v>822</v>
      </c>
      <c r="C126" s="16" t="s">
        <v>821</v>
      </c>
      <c r="D126" s="16" t="s">
        <v>823</v>
      </c>
      <c r="E126" s="16" t="s">
        <v>597</v>
      </c>
      <c r="F126" s="16" t="s">
        <v>343</v>
      </c>
    </row>
    <row r="127" spans="1:6" x14ac:dyDescent="0.25">
      <c r="A127" s="16" t="s">
        <v>824</v>
      </c>
      <c r="B127" s="16" t="s">
        <v>359</v>
      </c>
      <c r="C127" s="16" t="s">
        <v>231</v>
      </c>
      <c r="D127" s="16" t="s">
        <v>825</v>
      </c>
      <c r="E127" s="16" t="s">
        <v>496</v>
      </c>
      <c r="F127" s="16" t="s">
        <v>872</v>
      </c>
    </row>
    <row r="128" spans="1:6" x14ac:dyDescent="0.25">
      <c r="A128" s="16" t="s">
        <v>826</v>
      </c>
      <c r="B128" s="16" t="s">
        <v>828</v>
      </c>
      <c r="C128" s="16" t="s">
        <v>827</v>
      </c>
      <c r="D128" s="16" t="s">
        <v>829</v>
      </c>
      <c r="E128" s="16" t="s">
        <v>2182</v>
      </c>
      <c r="F128" s="16" t="s">
        <v>829</v>
      </c>
    </row>
    <row r="129" spans="1:6" x14ac:dyDescent="0.25">
      <c r="A129" s="16" t="s">
        <v>830</v>
      </c>
      <c r="B129" s="16" t="s">
        <v>776</v>
      </c>
      <c r="C129" s="16" t="s">
        <v>775</v>
      </c>
      <c r="D129" s="16" t="s">
        <v>225</v>
      </c>
      <c r="E129" s="16"/>
      <c r="F129" s="16"/>
    </row>
    <row r="130" spans="1:6" x14ac:dyDescent="0.25">
      <c r="A130" s="16" t="s">
        <v>831</v>
      </c>
      <c r="B130" s="16" t="s">
        <v>832</v>
      </c>
      <c r="C130" s="16" t="s">
        <v>1056</v>
      </c>
      <c r="D130" s="16" t="s">
        <v>230</v>
      </c>
      <c r="E130" s="16" t="s">
        <v>2183</v>
      </c>
      <c r="F130" s="16" t="s">
        <v>1069</v>
      </c>
    </row>
    <row r="131" spans="1:6" x14ac:dyDescent="0.25">
      <c r="A131" s="16" t="s">
        <v>1889</v>
      </c>
      <c r="B131" s="16" t="s">
        <v>835</v>
      </c>
      <c r="C131" s="16" t="s">
        <v>834</v>
      </c>
      <c r="D131" s="16" t="s">
        <v>332</v>
      </c>
      <c r="E131" s="16" t="s">
        <v>333</v>
      </c>
      <c r="F131" s="16" t="s">
        <v>332</v>
      </c>
    </row>
    <row r="132" spans="1:6" x14ac:dyDescent="0.25">
      <c r="A132" s="16" t="s">
        <v>836</v>
      </c>
      <c r="B132" s="16" t="s">
        <v>838</v>
      </c>
      <c r="C132" s="16" t="s">
        <v>837</v>
      </c>
      <c r="D132" s="16" t="s">
        <v>839</v>
      </c>
      <c r="E132" s="16" t="s">
        <v>583</v>
      </c>
      <c r="F132" s="16" t="s">
        <v>277</v>
      </c>
    </row>
    <row r="133" spans="1:6" x14ac:dyDescent="0.25">
      <c r="A133" s="16" t="s">
        <v>840</v>
      </c>
      <c r="B133" s="16" t="s">
        <v>842</v>
      </c>
      <c r="C133" s="16" t="s">
        <v>841</v>
      </c>
      <c r="D133" s="16" t="s">
        <v>340</v>
      </c>
      <c r="E133" s="16"/>
      <c r="F133" s="16"/>
    </row>
    <row r="134" spans="1:6" x14ac:dyDescent="0.25">
      <c r="A134" s="16" t="s">
        <v>843</v>
      </c>
      <c r="B134" s="16" t="s">
        <v>845</v>
      </c>
      <c r="C134" s="16" t="s">
        <v>844</v>
      </c>
      <c r="D134" s="16" t="s">
        <v>500</v>
      </c>
      <c r="E134" s="16" t="s">
        <v>2184</v>
      </c>
      <c r="F134" s="16" t="s">
        <v>500</v>
      </c>
    </row>
    <row r="135" spans="1:6" x14ac:dyDescent="0.25">
      <c r="A135" s="16" t="s">
        <v>846</v>
      </c>
      <c r="B135" s="16" t="s">
        <v>848</v>
      </c>
      <c r="C135" s="16" t="s">
        <v>847</v>
      </c>
      <c r="D135" s="16" t="s">
        <v>336</v>
      </c>
      <c r="E135" s="16" t="s">
        <v>220</v>
      </c>
      <c r="F135" s="16" t="s">
        <v>336</v>
      </c>
    </row>
    <row r="136" spans="1:6" x14ac:dyDescent="0.25">
      <c r="A136" s="16" t="s">
        <v>849</v>
      </c>
      <c r="B136" s="16" t="s">
        <v>851</v>
      </c>
      <c r="C136" s="16" t="s">
        <v>850</v>
      </c>
      <c r="D136" s="16" t="s">
        <v>222</v>
      </c>
      <c r="E136" s="16" t="s">
        <v>295</v>
      </c>
      <c r="F136" s="16" t="s">
        <v>853</v>
      </c>
    </row>
    <row r="137" spans="1:6" x14ac:dyDescent="0.25">
      <c r="A137" s="16" t="s">
        <v>852</v>
      </c>
      <c r="B137" s="16" t="s">
        <v>448</v>
      </c>
      <c r="C137" s="16" t="s">
        <v>447</v>
      </c>
      <c r="D137" s="16" t="s">
        <v>853</v>
      </c>
      <c r="E137" s="16" t="s">
        <v>796</v>
      </c>
      <c r="F137" s="16" t="s">
        <v>335</v>
      </c>
    </row>
    <row r="138" spans="1:6" x14ac:dyDescent="0.25">
      <c r="A138" s="16" t="s">
        <v>854</v>
      </c>
      <c r="B138" s="16" t="s">
        <v>415</v>
      </c>
      <c r="C138" s="16" t="s">
        <v>414</v>
      </c>
      <c r="D138" s="16" t="s">
        <v>350</v>
      </c>
      <c r="E138" s="16"/>
      <c r="F138" s="16"/>
    </row>
    <row r="139" spans="1:6" x14ac:dyDescent="0.25">
      <c r="A139" s="16" t="s">
        <v>855</v>
      </c>
      <c r="B139" s="16" t="s">
        <v>857</v>
      </c>
      <c r="C139" s="16" t="s">
        <v>856</v>
      </c>
      <c r="D139" s="16" t="s">
        <v>858</v>
      </c>
      <c r="E139" s="16" t="s">
        <v>1073</v>
      </c>
      <c r="F139" s="16" t="s">
        <v>858</v>
      </c>
    </row>
    <row r="140" spans="1:6" x14ac:dyDescent="0.25">
      <c r="A140" s="16" t="s">
        <v>859</v>
      </c>
      <c r="B140" s="16" t="s">
        <v>861</v>
      </c>
      <c r="C140" s="16" t="s">
        <v>860</v>
      </c>
      <c r="D140" s="16" t="s">
        <v>862</v>
      </c>
      <c r="E140" s="16" t="s">
        <v>2181</v>
      </c>
      <c r="F140" s="16" t="s">
        <v>2185</v>
      </c>
    </row>
    <row r="141" spans="1:6" x14ac:dyDescent="0.25">
      <c r="A141" s="16" t="s">
        <v>863</v>
      </c>
      <c r="B141" s="16" t="s">
        <v>865</v>
      </c>
      <c r="C141" s="16" t="s">
        <v>864</v>
      </c>
      <c r="D141" s="16" t="s">
        <v>330</v>
      </c>
      <c r="E141" s="16" t="s">
        <v>1028</v>
      </c>
      <c r="F141" s="16" t="s">
        <v>330</v>
      </c>
    </row>
    <row r="142" spans="1:6" x14ac:dyDescent="0.25">
      <c r="A142" s="16" t="s">
        <v>866</v>
      </c>
      <c r="B142" s="16" t="s">
        <v>868</v>
      </c>
      <c r="C142" s="16" t="s">
        <v>867</v>
      </c>
      <c r="D142" s="16" t="s">
        <v>869</v>
      </c>
      <c r="E142" s="16" t="s">
        <v>1054</v>
      </c>
      <c r="F142" s="16" t="s">
        <v>869</v>
      </c>
    </row>
    <row r="143" spans="1:6" x14ac:dyDescent="0.25">
      <c r="A143" s="16" t="s">
        <v>870</v>
      </c>
      <c r="B143" s="16" t="s">
        <v>309</v>
      </c>
      <c r="C143" s="16" t="s">
        <v>871</v>
      </c>
      <c r="D143" s="16" t="s">
        <v>872</v>
      </c>
      <c r="E143" s="16" t="s">
        <v>349</v>
      </c>
      <c r="F143" s="16" t="s">
        <v>337</v>
      </c>
    </row>
    <row r="144" spans="1:6" x14ac:dyDescent="0.25">
      <c r="A144" s="16" t="s">
        <v>873</v>
      </c>
      <c r="B144" s="16" t="s">
        <v>656</v>
      </c>
      <c r="C144" s="16" t="s">
        <v>655</v>
      </c>
      <c r="D144" s="16" t="s">
        <v>657</v>
      </c>
      <c r="E144" s="16" t="s">
        <v>839</v>
      </c>
      <c r="F144" s="16" t="s">
        <v>657</v>
      </c>
    </row>
    <row r="145" spans="1:6" x14ac:dyDescent="0.25">
      <c r="A145" s="16" t="s">
        <v>874</v>
      </c>
      <c r="B145" s="16" t="s">
        <v>876</v>
      </c>
      <c r="C145" s="16" t="s">
        <v>875</v>
      </c>
      <c r="D145" s="16" t="s">
        <v>877</v>
      </c>
      <c r="E145" s="16" t="s">
        <v>992</v>
      </c>
      <c r="F145" s="16" t="s">
        <v>877</v>
      </c>
    </row>
    <row r="146" spans="1:6" x14ac:dyDescent="0.25">
      <c r="A146" s="16" t="s">
        <v>878</v>
      </c>
      <c r="B146" s="16" t="s">
        <v>880</v>
      </c>
      <c r="C146" s="16" t="s">
        <v>879</v>
      </c>
      <c r="D146" s="16" t="s">
        <v>881</v>
      </c>
      <c r="E146" s="16" t="s">
        <v>500</v>
      </c>
      <c r="F146" s="16" t="s">
        <v>881</v>
      </c>
    </row>
    <row r="147" spans="1:6" x14ac:dyDescent="0.25">
      <c r="A147" s="16" t="s">
        <v>882</v>
      </c>
      <c r="B147" s="16" t="s">
        <v>884</v>
      </c>
      <c r="C147" s="16" t="s">
        <v>883</v>
      </c>
      <c r="D147" s="16" t="s">
        <v>885</v>
      </c>
      <c r="E147" s="16" t="s">
        <v>889</v>
      </c>
      <c r="F147" s="16" t="s">
        <v>885</v>
      </c>
    </row>
    <row r="148" spans="1:6" x14ac:dyDescent="0.25">
      <c r="A148" s="16" t="s">
        <v>886</v>
      </c>
      <c r="B148" s="16" t="s">
        <v>888</v>
      </c>
      <c r="C148" s="16" t="s">
        <v>887</v>
      </c>
      <c r="D148" s="16" t="s">
        <v>889</v>
      </c>
      <c r="E148" s="16" t="s">
        <v>2173</v>
      </c>
      <c r="F148" s="16" t="s">
        <v>889</v>
      </c>
    </row>
    <row r="149" spans="1:6" x14ac:dyDescent="0.25">
      <c r="A149" s="16" t="s">
        <v>890</v>
      </c>
      <c r="B149" s="16" t="s">
        <v>558</v>
      </c>
      <c r="C149" s="16" t="s">
        <v>245</v>
      </c>
      <c r="D149" s="16" t="s">
        <v>334</v>
      </c>
      <c r="E149" s="16" t="s">
        <v>1069</v>
      </c>
      <c r="F149" s="16" t="s">
        <v>985</v>
      </c>
    </row>
    <row r="150" spans="1:6" x14ac:dyDescent="0.25">
      <c r="A150" s="16" t="s">
        <v>891</v>
      </c>
      <c r="B150" s="16" t="s">
        <v>893</v>
      </c>
      <c r="C150" s="16" t="s">
        <v>892</v>
      </c>
      <c r="D150" s="16" t="s">
        <v>216</v>
      </c>
      <c r="E150" s="16" t="s">
        <v>549</v>
      </c>
      <c r="F150" s="16" t="s">
        <v>216</v>
      </c>
    </row>
    <row r="151" spans="1:6" x14ac:dyDescent="0.25">
      <c r="A151" s="16" t="s">
        <v>894</v>
      </c>
      <c r="B151" s="16" t="s">
        <v>896</v>
      </c>
      <c r="C151" s="16" t="s">
        <v>895</v>
      </c>
      <c r="D151" s="16" t="s">
        <v>897</v>
      </c>
      <c r="E151" s="16"/>
      <c r="F151" s="16"/>
    </row>
    <row r="152" spans="1:6" x14ac:dyDescent="0.25">
      <c r="A152" s="16" t="s">
        <v>898</v>
      </c>
      <c r="B152" s="16" t="s">
        <v>643</v>
      </c>
      <c r="C152" s="16" t="s">
        <v>642</v>
      </c>
      <c r="D152" s="16" t="s">
        <v>899</v>
      </c>
      <c r="E152" s="16" t="s">
        <v>324</v>
      </c>
      <c r="F152" s="16" t="s">
        <v>358</v>
      </c>
    </row>
    <row r="153" spans="1:6" x14ac:dyDescent="0.25">
      <c r="A153" s="16" t="s">
        <v>900</v>
      </c>
      <c r="B153" s="16" t="s">
        <v>902</v>
      </c>
      <c r="C153" s="16" t="s">
        <v>901</v>
      </c>
      <c r="D153" s="16" t="s">
        <v>351</v>
      </c>
      <c r="E153" s="16" t="s">
        <v>318</v>
      </c>
      <c r="F153" s="16" t="s">
        <v>316</v>
      </c>
    </row>
    <row r="154" spans="1:6" x14ac:dyDescent="0.25">
      <c r="A154" s="16" t="s">
        <v>903</v>
      </c>
      <c r="B154" s="16" t="s">
        <v>905</v>
      </c>
      <c r="C154" s="16" t="s">
        <v>904</v>
      </c>
      <c r="D154" s="16" t="s">
        <v>906</v>
      </c>
      <c r="E154" s="16" t="s">
        <v>637</v>
      </c>
      <c r="F154" s="16" t="s">
        <v>1045</v>
      </c>
    </row>
    <row r="155" spans="1:6" x14ac:dyDescent="0.25">
      <c r="A155" s="16" t="s">
        <v>907</v>
      </c>
      <c r="B155" s="16" t="s">
        <v>767</v>
      </c>
      <c r="C155" s="16" t="s">
        <v>766</v>
      </c>
      <c r="D155" s="16" t="s">
        <v>698</v>
      </c>
      <c r="E155" s="16"/>
      <c r="F155" s="16"/>
    </row>
    <row r="156" spans="1:6" x14ac:dyDescent="0.25">
      <c r="A156" s="16" t="s">
        <v>908</v>
      </c>
      <c r="B156" s="16" t="s">
        <v>910</v>
      </c>
      <c r="C156" s="16" t="s">
        <v>909</v>
      </c>
      <c r="D156" s="16" t="s">
        <v>14</v>
      </c>
      <c r="E156" s="16" t="s">
        <v>219</v>
      </c>
      <c r="F156" s="16" t="s">
        <v>911</v>
      </c>
    </row>
    <row r="157" spans="1:6" x14ac:dyDescent="0.25">
      <c r="A157" s="16" t="s">
        <v>912</v>
      </c>
      <c r="B157" s="16" t="s">
        <v>913</v>
      </c>
      <c r="C157" s="16" t="s">
        <v>242</v>
      </c>
      <c r="D157" s="16" t="s">
        <v>914</v>
      </c>
      <c r="E157" s="16" t="s">
        <v>783</v>
      </c>
      <c r="F157" s="16" t="s">
        <v>273</v>
      </c>
    </row>
    <row r="158" spans="1:6" x14ac:dyDescent="0.25">
      <c r="A158" s="16" t="s">
        <v>915</v>
      </c>
      <c r="B158" s="16" t="s">
        <v>917</v>
      </c>
      <c r="C158" s="16" t="s">
        <v>916</v>
      </c>
      <c r="D158" s="16" t="s">
        <v>918</v>
      </c>
      <c r="E158" s="16" t="s">
        <v>294</v>
      </c>
      <c r="F158" s="16" t="s">
        <v>2176</v>
      </c>
    </row>
    <row r="159" spans="1:6" x14ac:dyDescent="0.25">
      <c r="A159" s="16" t="s">
        <v>919</v>
      </c>
      <c r="B159" s="16" t="s">
        <v>921</v>
      </c>
      <c r="C159" s="16" t="s">
        <v>920</v>
      </c>
      <c r="D159" s="16" t="s">
        <v>922</v>
      </c>
      <c r="E159" s="16" t="s">
        <v>1012</v>
      </c>
      <c r="F159" s="16" t="s">
        <v>922</v>
      </c>
    </row>
    <row r="160" spans="1:6" x14ac:dyDescent="0.25">
      <c r="A160" s="16" t="s">
        <v>923</v>
      </c>
      <c r="B160" s="16" t="s">
        <v>925</v>
      </c>
      <c r="C160" s="16" t="s">
        <v>924</v>
      </c>
      <c r="D160" s="16" t="s">
        <v>926</v>
      </c>
      <c r="E160" s="16"/>
      <c r="F160" s="16"/>
    </row>
    <row r="161" spans="1:6" x14ac:dyDescent="0.25">
      <c r="A161" s="16" t="s">
        <v>927</v>
      </c>
      <c r="B161" s="16" t="s">
        <v>868</v>
      </c>
      <c r="C161" s="16" t="s">
        <v>867</v>
      </c>
      <c r="D161" s="16" t="s">
        <v>294</v>
      </c>
      <c r="E161" s="16" t="s">
        <v>785</v>
      </c>
      <c r="F161" s="16" t="s">
        <v>2186</v>
      </c>
    </row>
    <row r="162" spans="1:6" x14ac:dyDescent="0.25">
      <c r="A162" s="16" t="s">
        <v>929</v>
      </c>
      <c r="B162" s="16" t="s">
        <v>931</v>
      </c>
      <c r="C162" s="16" t="s">
        <v>930</v>
      </c>
      <c r="D162" s="16" t="s">
        <v>327</v>
      </c>
      <c r="E162" s="16" t="s">
        <v>241</v>
      </c>
      <c r="F162" s="16" t="s">
        <v>327</v>
      </c>
    </row>
    <row r="163" spans="1:6" x14ac:dyDescent="0.25">
      <c r="A163" s="16" t="s">
        <v>932</v>
      </c>
      <c r="B163" s="16" t="s">
        <v>934</v>
      </c>
      <c r="C163" s="16" t="s">
        <v>933</v>
      </c>
      <c r="D163" s="16" t="s">
        <v>337</v>
      </c>
      <c r="E163" s="16" t="s">
        <v>396</v>
      </c>
      <c r="F163" s="16" t="s">
        <v>2161</v>
      </c>
    </row>
    <row r="164" spans="1:6" x14ac:dyDescent="0.25">
      <c r="A164" s="16" t="s">
        <v>935</v>
      </c>
      <c r="B164" s="16" t="s">
        <v>937</v>
      </c>
      <c r="C164" s="16" t="s">
        <v>936</v>
      </c>
      <c r="D164" s="16" t="s">
        <v>938</v>
      </c>
      <c r="E164" s="16" t="s">
        <v>665</v>
      </c>
      <c r="F164" s="16" t="s">
        <v>938</v>
      </c>
    </row>
    <row r="165" spans="1:6" x14ac:dyDescent="0.25">
      <c r="A165" s="16" t="s">
        <v>939</v>
      </c>
      <c r="B165" s="16" t="s">
        <v>941</v>
      </c>
      <c r="C165" s="16" t="s">
        <v>940</v>
      </c>
      <c r="D165" s="16" t="s">
        <v>240</v>
      </c>
      <c r="E165" s="16"/>
      <c r="F165" s="16"/>
    </row>
    <row r="166" spans="1:6" x14ac:dyDescent="0.25">
      <c r="A166" s="16" t="s">
        <v>942</v>
      </c>
      <c r="B166" s="16" t="s">
        <v>943</v>
      </c>
      <c r="C166" s="16" t="s">
        <v>235</v>
      </c>
      <c r="D166" s="16" t="s">
        <v>751</v>
      </c>
      <c r="E166" s="16" t="s">
        <v>261</v>
      </c>
      <c r="F166" s="16" t="s">
        <v>751</v>
      </c>
    </row>
    <row r="167" spans="1:6" x14ac:dyDescent="0.25">
      <c r="A167" s="16" t="s">
        <v>944</v>
      </c>
      <c r="B167" s="16" t="s">
        <v>945</v>
      </c>
      <c r="C167" s="16" t="s">
        <v>228</v>
      </c>
      <c r="D167" s="16" t="s">
        <v>946</v>
      </c>
      <c r="E167" s="16" t="s">
        <v>680</v>
      </c>
      <c r="F167" s="16" t="s">
        <v>862</v>
      </c>
    </row>
    <row r="168" spans="1:6" x14ac:dyDescent="0.25">
      <c r="A168" s="16" t="s">
        <v>947</v>
      </c>
      <c r="B168" s="16" t="s">
        <v>948</v>
      </c>
      <c r="C168" s="16" t="s">
        <v>410</v>
      </c>
      <c r="D168" s="16" t="s">
        <v>949</v>
      </c>
      <c r="E168" s="16" t="s">
        <v>650</v>
      </c>
      <c r="F168" s="16" t="s">
        <v>839</v>
      </c>
    </row>
    <row r="169" spans="1:6" x14ac:dyDescent="0.25">
      <c r="A169" s="16" t="s">
        <v>950</v>
      </c>
      <c r="B169" s="16" t="s">
        <v>952</v>
      </c>
      <c r="C169" s="16" t="s">
        <v>951</v>
      </c>
      <c r="D169" s="16" t="s">
        <v>219</v>
      </c>
      <c r="E169" s="16" t="s">
        <v>881</v>
      </c>
      <c r="F169" s="16" t="s">
        <v>339</v>
      </c>
    </row>
    <row r="170" spans="1:6" x14ac:dyDescent="0.25">
      <c r="A170" s="16" t="s">
        <v>953</v>
      </c>
      <c r="B170" s="16" t="s">
        <v>954</v>
      </c>
      <c r="C170" s="16" t="s">
        <v>212</v>
      </c>
      <c r="D170" s="16" t="s">
        <v>955</v>
      </c>
      <c r="E170" s="16" t="s">
        <v>2187</v>
      </c>
      <c r="F170" s="16" t="s">
        <v>955</v>
      </c>
    </row>
    <row r="171" spans="1:6" x14ac:dyDescent="0.25">
      <c r="A171" s="16" t="s">
        <v>956</v>
      </c>
      <c r="B171" s="16" t="s">
        <v>958</v>
      </c>
      <c r="C171" s="16" t="s">
        <v>957</v>
      </c>
      <c r="D171" s="16" t="s">
        <v>14</v>
      </c>
      <c r="E171" s="16" t="s">
        <v>922</v>
      </c>
      <c r="F171" s="16" t="s">
        <v>823</v>
      </c>
    </row>
    <row r="172" spans="1:6" x14ac:dyDescent="0.25">
      <c r="A172" s="16" t="s">
        <v>959</v>
      </c>
      <c r="B172" s="16" t="s">
        <v>961</v>
      </c>
      <c r="C172" s="16" t="s">
        <v>960</v>
      </c>
      <c r="D172" s="16" t="s">
        <v>962</v>
      </c>
      <c r="E172" s="16" t="s">
        <v>669</v>
      </c>
      <c r="F172" s="16" t="s">
        <v>583</v>
      </c>
    </row>
    <row r="173" spans="1:6" x14ac:dyDescent="0.25">
      <c r="A173" s="16" t="s">
        <v>963</v>
      </c>
      <c r="B173" s="16" t="s">
        <v>965</v>
      </c>
      <c r="C173" s="16" t="s">
        <v>964</v>
      </c>
      <c r="D173" s="16" t="s">
        <v>217</v>
      </c>
      <c r="E173" s="16" t="s">
        <v>698</v>
      </c>
      <c r="F173" s="16" t="s">
        <v>217</v>
      </c>
    </row>
    <row r="174" spans="1:6" x14ac:dyDescent="0.25">
      <c r="A174" s="16" t="s">
        <v>966</v>
      </c>
      <c r="B174" s="16" t="s">
        <v>488</v>
      </c>
      <c r="C174" s="16" t="s">
        <v>487</v>
      </c>
      <c r="D174" s="16" t="s">
        <v>342</v>
      </c>
      <c r="E174" s="16" t="s">
        <v>511</v>
      </c>
      <c r="F174" s="16" t="s">
        <v>825</v>
      </c>
    </row>
    <row r="175" spans="1:6" x14ac:dyDescent="0.25">
      <c r="A175" s="16" t="s">
        <v>967</v>
      </c>
      <c r="B175" s="16" t="s">
        <v>968</v>
      </c>
      <c r="C175" s="16" t="s">
        <v>213</v>
      </c>
      <c r="D175" s="16" t="s">
        <v>321</v>
      </c>
      <c r="E175" s="16" t="s">
        <v>321</v>
      </c>
      <c r="F175" s="16" t="s">
        <v>321</v>
      </c>
    </row>
    <row r="176" spans="1:6" x14ac:dyDescent="0.25">
      <c r="A176" s="16" t="s">
        <v>969</v>
      </c>
      <c r="B176" s="16" t="s">
        <v>971</v>
      </c>
      <c r="C176" s="16" t="s">
        <v>970</v>
      </c>
      <c r="D176" s="16" t="s">
        <v>972</v>
      </c>
      <c r="E176" s="16" t="s">
        <v>2188</v>
      </c>
      <c r="F176" s="16" t="s">
        <v>972</v>
      </c>
    </row>
    <row r="177" spans="1:6" x14ac:dyDescent="0.25">
      <c r="A177" s="16" t="s">
        <v>973</v>
      </c>
      <c r="B177" s="16" t="s">
        <v>975</v>
      </c>
      <c r="C177" s="16" t="s">
        <v>974</v>
      </c>
      <c r="D177" s="16" t="s">
        <v>221</v>
      </c>
      <c r="E177" s="16" t="s">
        <v>2177</v>
      </c>
      <c r="F177" s="16" t="s">
        <v>221</v>
      </c>
    </row>
    <row r="178" spans="1:6" x14ac:dyDescent="0.25">
      <c r="A178" s="16" t="s">
        <v>1890</v>
      </c>
      <c r="B178" s="16" t="s">
        <v>977</v>
      </c>
      <c r="C178" s="16" t="s">
        <v>976</v>
      </c>
      <c r="D178" s="16" t="s">
        <v>348</v>
      </c>
      <c r="E178" s="16" t="s">
        <v>347</v>
      </c>
      <c r="F178" s="16" t="s">
        <v>348</v>
      </c>
    </row>
    <row r="179" spans="1:6" x14ac:dyDescent="0.25">
      <c r="A179" s="16" t="s">
        <v>978</v>
      </c>
      <c r="B179" s="16" t="s">
        <v>980</v>
      </c>
      <c r="C179" s="16" t="s">
        <v>979</v>
      </c>
      <c r="D179" s="16" t="s">
        <v>981</v>
      </c>
      <c r="E179" s="16" t="s">
        <v>962</v>
      </c>
      <c r="F179" s="16" t="s">
        <v>946</v>
      </c>
    </row>
    <row r="180" spans="1:6" x14ac:dyDescent="0.25">
      <c r="A180" s="16" t="s">
        <v>982</v>
      </c>
      <c r="B180" s="16" t="s">
        <v>984</v>
      </c>
      <c r="C180" s="16" t="s">
        <v>983</v>
      </c>
      <c r="D180" s="16" t="s">
        <v>985</v>
      </c>
      <c r="E180" s="16" t="s">
        <v>833</v>
      </c>
      <c r="F180" s="16" t="s">
        <v>669</v>
      </c>
    </row>
    <row r="181" spans="1:6" x14ac:dyDescent="0.25">
      <c r="A181" s="16" t="s">
        <v>986</v>
      </c>
      <c r="B181" s="16" t="s">
        <v>988</v>
      </c>
      <c r="C181" s="16" t="s">
        <v>987</v>
      </c>
      <c r="D181" s="16" t="s">
        <v>347</v>
      </c>
      <c r="E181" s="16" t="s">
        <v>316</v>
      </c>
      <c r="F181" s="16" t="s">
        <v>347</v>
      </c>
    </row>
    <row r="182" spans="1:6" x14ac:dyDescent="0.25">
      <c r="A182" s="16" t="s">
        <v>989</v>
      </c>
      <c r="B182" s="16" t="s">
        <v>991</v>
      </c>
      <c r="C182" s="16" t="s">
        <v>990</v>
      </c>
      <c r="D182" s="16" t="s">
        <v>992</v>
      </c>
      <c r="E182" s="16" t="s">
        <v>350</v>
      </c>
      <c r="F182" s="16" t="s">
        <v>992</v>
      </c>
    </row>
    <row r="183" spans="1:6" x14ac:dyDescent="0.25">
      <c r="A183" s="16" t="s">
        <v>993</v>
      </c>
      <c r="B183" s="16" t="s">
        <v>995</v>
      </c>
      <c r="C183" s="16" t="s">
        <v>994</v>
      </c>
      <c r="D183" s="16" t="s">
        <v>996</v>
      </c>
      <c r="E183" s="16" t="s">
        <v>348</v>
      </c>
      <c r="F183" s="16" t="s">
        <v>996</v>
      </c>
    </row>
    <row r="184" spans="1:6" x14ac:dyDescent="0.25">
      <c r="A184" s="16" t="s">
        <v>997</v>
      </c>
      <c r="B184" s="16" t="s">
        <v>999</v>
      </c>
      <c r="C184" s="16" t="s">
        <v>998</v>
      </c>
      <c r="D184" s="16" t="s">
        <v>325</v>
      </c>
      <c r="E184" s="16" t="s">
        <v>216</v>
      </c>
      <c r="F184" s="16" t="s">
        <v>325</v>
      </c>
    </row>
    <row r="185" spans="1:6" x14ac:dyDescent="0.25">
      <c r="A185" s="16" t="s">
        <v>1000</v>
      </c>
      <c r="B185" s="16" t="s">
        <v>1001</v>
      </c>
      <c r="C185" s="16" t="s">
        <v>237</v>
      </c>
      <c r="D185" s="16" t="s">
        <v>1002</v>
      </c>
      <c r="E185" s="16" t="s">
        <v>2189</v>
      </c>
      <c r="F185" s="16" t="s">
        <v>1002</v>
      </c>
    </row>
    <row r="186" spans="1:6" x14ac:dyDescent="0.25">
      <c r="A186" s="16" t="s">
        <v>1003</v>
      </c>
      <c r="B186" s="16" t="s">
        <v>586</v>
      </c>
      <c r="C186" s="16" t="s">
        <v>585</v>
      </c>
      <c r="D186" s="16" t="s">
        <v>1004</v>
      </c>
      <c r="E186" s="16" t="s">
        <v>419</v>
      </c>
      <c r="F186" s="16" t="s">
        <v>1004</v>
      </c>
    </row>
    <row r="187" spans="1:6" x14ac:dyDescent="0.25">
      <c r="A187" s="16" t="s">
        <v>1005</v>
      </c>
      <c r="B187" s="16" t="s">
        <v>1007</v>
      </c>
      <c r="C187" s="16" t="s">
        <v>1006</v>
      </c>
      <c r="D187" s="16" t="s">
        <v>1008</v>
      </c>
      <c r="E187" s="16" t="s">
        <v>503</v>
      </c>
      <c r="F187" s="16" t="s">
        <v>1008</v>
      </c>
    </row>
    <row r="188" spans="1:6" x14ac:dyDescent="0.25">
      <c r="A188" s="16" t="s">
        <v>1009</v>
      </c>
      <c r="B188" s="16" t="s">
        <v>1011</v>
      </c>
      <c r="C188" s="16" t="s">
        <v>1010</v>
      </c>
      <c r="D188" s="16" t="s">
        <v>1012</v>
      </c>
      <c r="E188" s="16" t="s">
        <v>561</v>
      </c>
      <c r="F188" s="16" t="s">
        <v>294</v>
      </c>
    </row>
    <row r="189" spans="1:6" x14ac:dyDescent="0.25">
      <c r="A189" s="16" t="s">
        <v>1013</v>
      </c>
      <c r="B189" s="16" t="s">
        <v>1015</v>
      </c>
      <c r="C189" s="16" t="s">
        <v>1014</v>
      </c>
      <c r="D189" s="16" t="s">
        <v>785</v>
      </c>
      <c r="E189" s="16" t="s">
        <v>946</v>
      </c>
      <c r="F189" s="16" t="s">
        <v>785</v>
      </c>
    </row>
    <row r="190" spans="1:6" x14ac:dyDescent="0.25">
      <c r="A190" s="16" t="s">
        <v>1016</v>
      </c>
      <c r="B190" s="16" t="s">
        <v>1018</v>
      </c>
      <c r="C190" s="16" t="s">
        <v>1017</v>
      </c>
      <c r="D190" s="16" t="s">
        <v>341</v>
      </c>
      <c r="E190" s="16" t="s">
        <v>918</v>
      </c>
      <c r="F190" s="16" t="s">
        <v>341</v>
      </c>
    </row>
    <row r="191" spans="1:6" x14ac:dyDescent="0.25">
      <c r="A191" s="16" t="s">
        <v>1019</v>
      </c>
      <c r="B191" s="16" t="s">
        <v>1021</v>
      </c>
      <c r="C191" s="16" t="s">
        <v>1020</v>
      </c>
      <c r="D191" s="16" t="s">
        <v>306</v>
      </c>
      <c r="E191" s="16" t="s">
        <v>485</v>
      </c>
      <c r="F191" s="16" t="s">
        <v>306</v>
      </c>
    </row>
    <row r="192" spans="1:6" x14ac:dyDescent="0.25">
      <c r="A192" s="16" t="s">
        <v>1022</v>
      </c>
      <c r="B192" s="16" t="s">
        <v>1024</v>
      </c>
      <c r="C192" s="16" t="s">
        <v>1023</v>
      </c>
      <c r="D192" s="16" t="s">
        <v>219</v>
      </c>
      <c r="E192" s="16" t="s">
        <v>339</v>
      </c>
      <c r="F192" s="16" t="s">
        <v>219</v>
      </c>
    </row>
    <row r="193" spans="1:6" x14ac:dyDescent="0.25">
      <c r="A193" s="16" t="s">
        <v>1025</v>
      </c>
      <c r="B193" s="16" t="s">
        <v>1027</v>
      </c>
      <c r="C193" s="16" t="s">
        <v>1026</v>
      </c>
      <c r="D193" s="16" t="s">
        <v>1028</v>
      </c>
      <c r="E193" s="16" t="s">
        <v>225</v>
      </c>
      <c r="F193" s="16" t="s">
        <v>1028</v>
      </c>
    </row>
    <row r="194" spans="1:6" x14ac:dyDescent="0.25">
      <c r="A194" s="16" t="s">
        <v>1029</v>
      </c>
      <c r="B194" s="16" t="s">
        <v>1031</v>
      </c>
      <c r="C194" s="16" t="s">
        <v>1030</v>
      </c>
      <c r="D194" s="16" t="s">
        <v>316</v>
      </c>
      <c r="E194" s="16" t="s">
        <v>911</v>
      </c>
      <c r="F194" s="16" t="s">
        <v>282</v>
      </c>
    </row>
    <row r="195" spans="1:6" x14ac:dyDescent="0.25">
      <c r="A195" s="16" t="s">
        <v>1032</v>
      </c>
      <c r="B195" s="16" t="s">
        <v>1034</v>
      </c>
      <c r="C195" s="16" t="s">
        <v>1033</v>
      </c>
      <c r="D195" s="16" t="s">
        <v>1035</v>
      </c>
      <c r="E195" s="16" t="s">
        <v>2167</v>
      </c>
      <c r="F195" s="16" t="s">
        <v>1035</v>
      </c>
    </row>
    <row r="196" spans="1:6" x14ac:dyDescent="0.25">
      <c r="A196" s="16" t="s">
        <v>1036</v>
      </c>
      <c r="B196" s="16" t="s">
        <v>575</v>
      </c>
      <c r="C196" s="16" t="s">
        <v>574</v>
      </c>
      <c r="D196" s="16" t="s">
        <v>1037</v>
      </c>
      <c r="E196" s="16" t="s">
        <v>1035</v>
      </c>
      <c r="F196" s="16" t="s">
        <v>673</v>
      </c>
    </row>
    <row r="197" spans="1:6" x14ac:dyDescent="0.25">
      <c r="A197" s="16" t="s">
        <v>1038</v>
      </c>
      <c r="B197" s="16" t="s">
        <v>746</v>
      </c>
      <c r="C197" s="16" t="s">
        <v>745</v>
      </c>
      <c r="D197" s="16" t="s">
        <v>622</v>
      </c>
      <c r="E197" s="16" t="s">
        <v>458</v>
      </c>
      <c r="F197" s="16" t="s">
        <v>622</v>
      </c>
    </row>
    <row r="198" spans="1:6" x14ac:dyDescent="0.25">
      <c r="A198" s="16" t="s">
        <v>1039</v>
      </c>
      <c r="B198" s="16" t="s">
        <v>1031</v>
      </c>
      <c r="C198" s="16" t="s">
        <v>1030</v>
      </c>
      <c r="D198" s="16" t="s">
        <v>350</v>
      </c>
      <c r="E198" s="16" t="s">
        <v>282</v>
      </c>
      <c r="F198" s="16" t="s">
        <v>350</v>
      </c>
    </row>
    <row r="199" spans="1:6" x14ac:dyDescent="0.25">
      <c r="A199" s="16" t="s">
        <v>1040</v>
      </c>
      <c r="B199" s="16" t="s">
        <v>1042</v>
      </c>
      <c r="C199" s="16" t="s">
        <v>1041</v>
      </c>
      <c r="D199" s="16" t="s">
        <v>380</v>
      </c>
      <c r="E199" s="16" t="s">
        <v>306</v>
      </c>
      <c r="F199" s="16" t="s">
        <v>380</v>
      </c>
    </row>
    <row r="200" spans="1:6" x14ac:dyDescent="0.25">
      <c r="A200" s="16" t="s">
        <v>1892</v>
      </c>
      <c r="B200" s="16" t="s">
        <v>1044</v>
      </c>
      <c r="C200" s="16" t="s">
        <v>1043</v>
      </c>
      <c r="D200" s="16" t="s">
        <v>1045</v>
      </c>
      <c r="E200" s="16" t="s">
        <v>800</v>
      </c>
      <c r="F200" s="16" t="s">
        <v>661</v>
      </c>
    </row>
    <row r="201" spans="1:6" x14ac:dyDescent="0.25">
      <c r="A201" s="16" t="s">
        <v>1046</v>
      </c>
      <c r="B201" s="16" t="s">
        <v>531</v>
      </c>
      <c r="C201" s="16" t="s">
        <v>530</v>
      </c>
      <c r="D201" s="16" t="s">
        <v>238</v>
      </c>
      <c r="E201" s="16" t="s">
        <v>538</v>
      </c>
      <c r="F201" s="16" t="s">
        <v>239</v>
      </c>
    </row>
    <row r="202" spans="1:6" x14ac:dyDescent="0.25">
      <c r="A202" s="16" t="s">
        <v>1047</v>
      </c>
      <c r="B202" s="16" t="s">
        <v>1048</v>
      </c>
      <c r="C202" s="16" t="s">
        <v>234</v>
      </c>
      <c r="D202" s="16" t="s">
        <v>324</v>
      </c>
      <c r="E202" s="16" t="s">
        <v>914</v>
      </c>
      <c r="F202" s="16" t="s">
        <v>324</v>
      </c>
    </row>
    <row r="203" spans="1:6" x14ac:dyDescent="0.25">
      <c r="A203" s="16" t="s">
        <v>1049</v>
      </c>
      <c r="B203" s="16" t="s">
        <v>1051</v>
      </c>
      <c r="C203" s="16" t="s">
        <v>1050</v>
      </c>
      <c r="D203" s="16" t="s">
        <v>344</v>
      </c>
      <c r="E203" s="16" t="s">
        <v>331</v>
      </c>
      <c r="F203" s="16" t="s">
        <v>344</v>
      </c>
    </row>
    <row r="204" spans="1:6" x14ac:dyDescent="0.25">
      <c r="A204" s="16" t="s">
        <v>1052</v>
      </c>
      <c r="B204" s="16" t="s">
        <v>1053</v>
      </c>
      <c r="C204" s="16" t="s">
        <v>226</v>
      </c>
      <c r="D204" s="16" t="s">
        <v>1054</v>
      </c>
      <c r="E204" s="16" t="s">
        <v>2185</v>
      </c>
      <c r="F204" s="16" t="s">
        <v>1054</v>
      </c>
    </row>
    <row r="205" spans="1:6" x14ac:dyDescent="0.25">
      <c r="A205" s="16" t="s">
        <v>1055</v>
      </c>
      <c r="B205" s="16" t="s">
        <v>1057</v>
      </c>
      <c r="C205" s="16" t="s">
        <v>2190</v>
      </c>
      <c r="D205" s="16" t="s">
        <v>833</v>
      </c>
      <c r="E205" s="16" t="s">
        <v>2191</v>
      </c>
      <c r="F205" s="16" t="s">
        <v>230</v>
      </c>
    </row>
    <row r="206" spans="1:6" x14ac:dyDescent="0.25">
      <c r="A206" s="16" t="s">
        <v>1058</v>
      </c>
      <c r="B206" s="16" t="s">
        <v>1060</v>
      </c>
      <c r="C206" s="16" t="s">
        <v>1059</v>
      </c>
      <c r="D206" s="16" t="s">
        <v>1061</v>
      </c>
      <c r="E206" s="16" t="s">
        <v>345</v>
      </c>
      <c r="F206" s="16" t="s">
        <v>1061</v>
      </c>
    </row>
    <row r="207" spans="1:6" x14ac:dyDescent="0.25">
      <c r="A207" s="16" t="s">
        <v>1062</v>
      </c>
      <c r="B207" s="16" t="s">
        <v>1064</v>
      </c>
      <c r="C207" s="16" t="s">
        <v>1063</v>
      </c>
      <c r="D207" s="16" t="s">
        <v>1065</v>
      </c>
      <c r="E207" s="16" t="s">
        <v>808</v>
      </c>
      <c r="F207" s="16" t="s">
        <v>1065</v>
      </c>
    </row>
    <row r="208" spans="1:6" x14ac:dyDescent="0.25">
      <c r="A208" s="16" t="s">
        <v>1066</v>
      </c>
      <c r="B208" s="16" t="s">
        <v>1068</v>
      </c>
      <c r="C208" s="16" t="s">
        <v>1067</v>
      </c>
      <c r="D208" s="16" t="s">
        <v>1069</v>
      </c>
      <c r="E208" s="16" t="s">
        <v>2192</v>
      </c>
      <c r="F208" s="16" t="s">
        <v>833</v>
      </c>
    </row>
    <row r="209" spans="1:6" x14ac:dyDescent="0.25">
      <c r="A209" s="16" t="s">
        <v>1070</v>
      </c>
      <c r="B209" s="16" t="s">
        <v>1072</v>
      </c>
      <c r="C209" s="16" t="s">
        <v>1071</v>
      </c>
      <c r="D209" s="16" t="s">
        <v>1073</v>
      </c>
      <c r="E209" s="16" t="s">
        <v>616</v>
      </c>
      <c r="F209" s="16" t="s">
        <v>1073</v>
      </c>
    </row>
    <row r="210" spans="1:6" x14ac:dyDescent="0.25">
      <c r="A210" s="16" t="s">
        <v>1074</v>
      </c>
      <c r="B210" s="16" t="s">
        <v>776</v>
      </c>
      <c r="C210" s="16" t="s">
        <v>775</v>
      </c>
      <c r="D210" s="16" t="s">
        <v>352</v>
      </c>
      <c r="E210" s="16" t="s">
        <v>221</v>
      </c>
      <c r="F210" s="16" t="s">
        <v>352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8"/>
  <sheetViews>
    <sheetView tabSelected="1" topLeftCell="A16" workbookViewId="0">
      <selection activeCell="W28" sqref="W28"/>
    </sheetView>
  </sheetViews>
  <sheetFormatPr baseColWidth="10" defaultRowHeight="15" x14ac:dyDescent="0.25"/>
  <sheetData>
    <row r="1" spans="1:10" x14ac:dyDescent="0.25">
      <c r="A1" s="16" t="s">
        <v>1075</v>
      </c>
      <c r="B1" s="16" t="s">
        <v>53</v>
      </c>
      <c r="C1" s="16" t="s">
        <v>48</v>
      </c>
      <c r="D1" s="16" t="s">
        <v>49</v>
      </c>
      <c r="E1" s="16" t="s">
        <v>50</v>
      </c>
      <c r="F1" s="16" t="s">
        <v>51</v>
      </c>
      <c r="G1" s="16" t="s">
        <v>52</v>
      </c>
      <c r="H1" s="16" t="s">
        <v>54</v>
      </c>
      <c r="I1" s="16" t="s">
        <v>55</v>
      </c>
      <c r="J1" s="16" t="s">
        <v>56</v>
      </c>
    </row>
    <row r="2" spans="1:10" x14ac:dyDescent="0.25">
      <c r="A2" s="16" t="s">
        <v>1076</v>
      </c>
      <c r="B2" s="16" t="s">
        <v>1077</v>
      </c>
      <c r="C2" s="16" t="s">
        <v>1078</v>
      </c>
      <c r="D2" s="16" t="s">
        <v>1078</v>
      </c>
      <c r="E2" s="16" t="s">
        <v>1079</v>
      </c>
      <c r="F2" s="16" t="s">
        <v>1080</v>
      </c>
      <c r="G2" s="16" t="s">
        <v>1081</v>
      </c>
      <c r="H2" s="16" t="s">
        <v>1077</v>
      </c>
      <c r="I2" s="16" t="s">
        <v>1081</v>
      </c>
      <c r="J2" s="16" t="s">
        <v>1081</v>
      </c>
    </row>
    <row r="3" spans="1:10" x14ac:dyDescent="0.25">
      <c r="A3" s="16" t="s">
        <v>1082</v>
      </c>
      <c r="B3" s="16" t="s">
        <v>1083</v>
      </c>
      <c r="C3" s="16" t="s">
        <v>1084</v>
      </c>
      <c r="D3" s="16" t="s">
        <v>1085</v>
      </c>
      <c r="E3" s="16" t="s">
        <v>1086</v>
      </c>
      <c r="F3" s="16" t="s">
        <v>1087</v>
      </c>
      <c r="G3" s="16" t="s">
        <v>1088</v>
      </c>
      <c r="H3" s="16" t="s">
        <v>1089</v>
      </c>
      <c r="I3" s="16" t="s">
        <v>1090</v>
      </c>
      <c r="J3" s="16" t="s">
        <v>1088</v>
      </c>
    </row>
    <row r="4" spans="1:10" x14ac:dyDescent="0.25">
      <c r="A4" s="16" t="s">
        <v>1091</v>
      </c>
      <c r="B4" s="16" t="s">
        <v>1092</v>
      </c>
      <c r="C4" s="16" t="s">
        <v>1093</v>
      </c>
      <c r="D4" s="16" t="s">
        <v>1094</v>
      </c>
      <c r="E4" s="16" t="s">
        <v>1095</v>
      </c>
      <c r="F4" s="16" t="s">
        <v>1096</v>
      </c>
      <c r="G4" s="16" t="s">
        <v>1095</v>
      </c>
      <c r="H4" s="16" t="s">
        <v>1097</v>
      </c>
      <c r="I4" s="16" t="s">
        <v>1098</v>
      </c>
      <c r="J4" s="16" t="s">
        <v>1095</v>
      </c>
    </row>
    <row r="5" spans="1:10" x14ac:dyDescent="0.25">
      <c r="A5" s="16" t="s">
        <v>1099</v>
      </c>
      <c r="B5" s="16" t="s">
        <v>1100</v>
      </c>
      <c r="C5" s="16" t="s">
        <v>1101</v>
      </c>
      <c r="D5" s="16" t="s">
        <v>1102</v>
      </c>
      <c r="E5" s="16" t="s">
        <v>1103</v>
      </c>
      <c r="F5" s="16" t="s">
        <v>1104</v>
      </c>
      <c r="G5" s="16" t="s">
        <v>1105</v>
      </c>
      <c r="H5" s="16" t="s">
        <v>1106</v>
      </c>
      <c r="I5" s="16" t="s">
        <v>1107</v>
      </c>
      <c r="J5" s="16" t="s">
        <v>1105</v>
      </c>
    </row>
    <row r="6" spans="1:10" x14ac:dyDescent="0.25">
      <c r="A6" s="16" t="s">
        <v>1108</v>
      </c>
      <c r="B6" s="16" t="s">
        <v>1109</v>
      </c>
      <c r="C6" s="16" t="s">
        <v>1110</v>
      </c>
      <c r="D6" s="16" t="s">
        <v>1111</v>
      </c>
      <c r="E6" s="16"/>
      <c r="F6" s="16"/>
      <c r="G6" s="16"/>
      <c r="H6" s="16" t="s">
        <v>1112</v>
      </c>
      <c r="I6" s="16" t="s">
        <v>1113</v>
      </c>
      <c r="J6" s="16" t="s">
        <v>1114</v>
      </c>
    </row>
    <row r="7" spans="1:10" x14ac:dyDescent="0.25">
      <c r="A7" s="16" t="s">
        <v>1115</v>
      </c>
      <c r="B7" s="16" t="s">
        <v>1116</v>
      </c>
      <c r="C7" s="16" t="s">
        <v>1117</v>
      </c>
      <c r="D7" s="16" t="s">
        <v>1118</v>
      </c>
      <c r="E7" s="16" t="s">
        <v>1119</v>
      </c>
      <c r="F7" s="16" t="s">
        <v>1119</v>
      </c>
      <c r="G7" s="16" t="s">
        <v>1120</v>
      </c>
      <c r="H7" s="16" t="s">
        <v>1121</v>
      </c>
      <c r="I7" s="16" t="s">
        <v>1122</v>
      </c>
      <c r="J7" s="16" t="s">
        <v>1120</v>
      </c>
    </row>
    <row r="8" spans="1:10" x14ac:dyDescent="0.25">
      <c r="A8" s="16" t="s">
        <v>1123</v>
      </c>
      <c r="B8" s="16"/>
      <c r="C8" s="16" t="s">
        <v>1124</v>
      </c>
      <c r="D8" s="16" t="s">
        <v>1125</v>
      </c>
      <c r="E8" s="16"/>
      <c r="F8" s="16"/>
      <c r="G8" s="16"/>
      <c r="H8" s="16"/>
      <c r="I8" s="16" t="s">
        <v>1126</v>
      </c>
      <c r="J8" s="16" t="s">
        <v>1127</v>
      </c>
    </row>
    <row r="15" spans="1:10" ht="23.25" x14ac:dyDescent="0.35">
      <c r="A15" s="36" t="s">
        <v>2236</v>
      </c>
    </row>
    <row r="17" spans="1:11" x14ac:dyDescent="0.25">
      <c r="A17" s="29" t="s">
        <v>2197</v>
      </c>
      <c r="B17" s="29" t="s">
        <v>2198</v>
      </c>
      <c r="C17" s="29" t="s">
        <v>2199</v>
      </c>
      <c r="D17" s="29" t="s">
        <v>2200</v>
      </c>
      <c r="E17" s="33" t="s">
        <v>2201</v>
      </c>
      <c r="F17" s="33" t="s">
        <v>2202</v>
      </c>
      <c r="G17" s="33" t="s">
        <v>2203</v>
      </c>
      <c r="H17" s="33" t="s">
        <v>2204</v>
      </c>
      <c r="I17" s="33" t="s">
        <v>2205</v>
      </c>
      <c r="J17" s="33" t="s">
        <v>2206</v>
      </c>
      <c r="K17" s="33" t="s">
        <v>2207</v>
      </c>
    </row>
    <row r="18" spans="1:11" x14ac:dyDescent="0.25">
      <c r="A18" s="29"/>
      <c r="B18" s="29"/>
      <c r="C18" s="29" t="s">
        <v>2208</v>
      </c>
      <c r="D18" s="29" t="s">
        <v>2209</v>
      </c>
      <c r="E18" s="29" t="s">
        <v>1117</v>
      </c>
      <c r="F18" s="29" t="s">
        <v>1116</v>
      </c>
      <c r="G18" s="29" t="s">
        <v>1122</v>
      </c>
      <c r="H18" s="29" t="s">
        <v>1119</v>
      </c>
      <c r="I18" s="29" t="s">
        <v>1118</v>
      </c>
      <c r="J18" s="29" t="s">
        <v>1121</v>
      </c>
      <c r="K18" s="29" t="s">
        <v>1120</v>
      </c>
    </row>
    <row r="19" spans="1:11" x14ac:dyDescent="0.25">
      <c r="A19" s="29" t="s">
        <v>2210</v>
      </c>
      <c r="B19" s="29"/>
      <c r="C19" s="29" t="s">
        <v>2211</v>
      </c>
      <c r="D19" s="29" t="s">
        <v>2212</v>
      </c>
      <c r="E19" s="29" t="s">
        <v>1110</v>
      </c>
      <c r="F19" s="29" t="s">
        <v>1109</v>
      </c>
      <c r="G19" s="29" t="s">
        <v>1113</v>
      </c>
      <c r="H19" s="29" t="s">
        <v>2213</v>
      </c>
      <c r="I19" s="29" t="s">
        <v>1111</v>
      </c>
      <c r="J19" s="29" t="s">
        <v>1112</v>
      </c>
      <c r="K19" s="29" t="s">
        <v>1114</v>
      </c>
    </row>
    <row r="20" spans="1:11" x14ac:dyDescent="0.25">
      <c r="A20" s="29" t="s">
        <v>2214</v>
      </c>
      <c r="B20" s="29" t="s">
        <v>2215</v>
      </c>
      <c r="C20" s="29" t="s">
        <v>2216</v>
      </c>
      <c r="D20" s="29" t="s">
        <v>2217</v>
      </c>
      <c r="E20" s="29" t="s">
        <v>1084</v>
      </c>
      <c r="F20" s="29" t="s">
        <v>1083</v>
      </c>
      <c r="G20" s="29" t="s">
        <v>1090</v>
      </c>
      <c r="H20" s="29" t="s">
        <v>1086</v>
      </c>
      <c r="I20" s="29" t="s">
        <v>1085</v>
      </c>
      <c r="J20" s="29" t="s">
        <v>1089</v>
      </c>
      <c r="K20" s="29" t="s">
        <v>1088</v>
      </c>
    </row>
    <row r="21" spans="1:11" x14ac:dyDescent="0.25">
      <c r="A21" s="29" t="s">
        <v>2218</v>
      </c>
      <c r="B21" s="29"/>
      <c r="C21" s="29" t="s">
        <v>2219</v>
      </c>
      <c r="D21" s="29" t="s">
        <v>2220</v>
      </c>
      <c r="E21" s="29" t="s">
        <v>1093</v>
      </c>
      <c r="F21" s="29" t="s">
        <v>1092</v>
      </c>
      <c r="G21" s="29" t="s">
        <v>1098</v>
      </c>
      <c r="H21" s="29" t="s">
        <v>1095</v>
      </c>
      <c r="I21" s="29" t="s">
        <v>1094</v>
      </c>
      <c r="J21" s="29" t="s">
        <v>1097</v>
      </c>
      <c r="K21" s="29" t="s">
        <v>1095</v>
      </c>
    </row>
    <row r="22" spans="1:11" x14ac:dyDescent="0.25">
      <c r="A22" s="29" t="s">
        <v>2221</v>
      </c>
      <c r="B22" s="29"/>
      <c r="C22" s="29" t="s">
        <v>2222</v>
      </c>
      <c r="D22" s="29" t="s">
        <v>2223</v>
      </c>
      <c r="E22" s="29" t="s">
        <v>1124</v>
      </c>
      <c r="F22" s="29" t="s">
        <v>2224</v>
      </c>
      <c r="G22" s="29" t="s">
        <v>1126</v>
      </c>
      <c r="H22" s="29" t="s">
        <v>2225</v>
      </c>
      <c r="I22" s="29" t="s">
        <v>1125</v>
      </c>
      <c r="J22" s="29" t="s">
        <v>2226</v>
      </c>
      <c r="K22" s="29" t="s">
        <v>1127</v>
      </c>
    </row>
    <row r="23" spans="1:11" x14ac:dyDescent="0.25">
      <c r="A23" s="29" t="s">
        <v>2227</v>
      </c>
      <c r="B23" s="29" t="s">
        <v>864</v>
      </c>
      <c r="C23" s="29"/>
      <c r="D23" s="29"/>
      <c r="E23" s="29" t="s">
        <v>1078</v>
      </c>
      <c r="F23" s="29" t="s">
        <v>1077</v>
      </c>
      <c r="G23" s="29" t="s">
        <v>1081</v>
      </c>
      <c r="H23" s="29" t="s">
        <v>1079</v>
      </c>
      <c r="I23" s="29" t="s">
        <v>1078</v>
      </c>
      <c r="J23" s="29" t="s">
        <v>1077</v>
      </c>
      <c r="K23" s="29" t="s">
        <v>1081</v>
      </c>
    </row>
    <row r="24" spans="1:11" x14ac:dyDescent="0.25">
      <c r="A24" s="29" t="s">
        <v>2228</v>
      </c>
      <c r="B24" s="29"/>
      <c r="C24" s="29" t="s">
        <v>2229</v>
      </c>
      <c r="D24" s="29" t="s">
        <v>2230</v>
      </c>
      <c r="E24" s="29" t="s">
        <v>1101</v>
      </c>
      <c r="F24" s="29" t="s">
        <v>1100</v>
      </c>
      <c r="G24" s="29" t="s">
        <v>1107</v>
      </c>
      <c r="H24" s="29" t="s">
        <v>1103</v>
      </c>
      <c r="I24" s="29" t="s">
        <v>1102</v>
      </c>
      <c r="J24" s="29" t="s">
        <v>1106</v>
      </c>
      <c r="K24" s="29" t="s">
        <v>1105</v>
      </c>
    </row>
    <row r="25" spans="1:11" x14ac:dyDescent="0.25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</row>
    <row r="26" spans="1:11" x14ac:dyDescent="0.25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</row>
    <row r="27" spans="1:11" x14ac:dyDescent="0.25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</row>
    <row r="28" spans="1:11" x14ac:dyDescent="0.25">
      <c r="A28" s="29" t="s">
        <v>1075</v>
      </c>
      <c r="B28" s="33" t="s">
        <v>53</v>
      </c>
      <c r="C28" s="33" t="s">
        <v>48</v>
      </c>
      <c r="D28" s="33" t="s">
        <v>49</v>
      </c>
      <c r="E28" s="33" t="s">
        <v>50</v>
      </c>
      <c r="F28" s="29" t="s">
        <v>51</v>
      </c>
      <c r="G28" s="33" t="s">
        <v>52</v>
      </c>
      <c r="H28" s="33" t="s">
        <v>54</v>
      </c>
      <c r="I28" s="33" t="s">
        <v>55</v>
      </c>
      <c r="J28" s="29" t="s">
        <v>56</v>
      </c>
      <c r="K28" s="29"/>
    </row>
    <row r="29" spans="1:11" x14ac:dyDescent="0.25">
      <c r="A29" s="29" t="s">
        <v>1076</v>
      </c>
      <c r="B29" s="29" t="s">
        <v>1077</v>
      </c>
      <c r="C29" s="29" t="s">
        <v>1078</v>
      </c>
      <c r="D29" s="29" t="s">
        <v>1078</v>
      </c>
      <c r="E29" s="29" t="s">
        <v>1079</v>
      </c>
      <c r="F29" s="29" t="s">
        <v>1080</v>
      </c>
      <c r="G29" s="29" t="s">
        <v>1081</v>
      </c>
      <c r="H29" s="29" t="s">
        <v>1077</v>
      </c>
      <c r="I29" s="29" t="s">
        <v>1081</v>
      </c>
      <c r="J29" s="29" t="s">
        <v>1081</v>
      </c>
      <c r="K29" s="29"/>
    </row>
    <row r="30" spans="1:11" x14ac:dyDescent="0.25">
      <c r="A30" s="29" t="s">
        <v>1082</v>
      </c>
      <c r="B30" s="29" t="s">
        <v>1083</v>
      </c>
      <c r="C30" s="29" t="s">
        <v>1084</v>
      </c>
      <c r="D30" s="29" t="s">
        <v>1085</v>
      </c>
      <c r="E30" s="29" t="s">
        <v>1086</v>
      </c>
      <c r="F30" s="29" t="s">
        <v>1087</v>
      </c>
      <c r="G30" s="29" t="s">
        <v>1088</v>
      </c>
      <c r="H30" s="29" t="s">
        <v>1089</v>
      </c>
      <c r="I30" s="29" t="s">
        <v>1090</v>
      </c>
      <c r="J30" s="29" t="s">
        <v>1088</v>
      </c>
      <c r="K30" s="29"/>
    </row>
    <row r="31" spans="1:11" x14ac:dyDescent="0.25">
      <c r="A31" s="29" t="s">
        <v>1091</v>
      </c>
      <c r="B31" s="29" t="s">
        <v>1092</v>
      </c>
      <c r="C31" s="29" t="s">
        <v>1093</v>
      </c>
      <c r="D31" s="29" t="s">
        <v>1094</v>
      </c>
      <c r="E31" s="29" t="s">
        <v>1095</v>
      </c>
      <c r="F31" s="29" t="s">
        <v>1096</v>
      </c>
      <c r="G31" s="29" t="s">
        <v>1095</v>
      </c>
      <c r="H31" s="29" t="s">
        <v>1097</v>
      </c>
      <c r="I31" s="29" t="s">
        <v>1098</v>
      </c>
      <c r="J31" s="29" t="s">
        <v>1095</v>
      </c>
      <c r="K31" s="29"/>
    </row>
    <row r="32" spans="1:11" x14ac:dyDescent="0.25">
      <c r="A32" s="29" t="s">
        <v>1099</v>
      </c>
      <c r="B32" s="29" t="s">
        <v>1100</v>
      </c>
      <c r="C32" s="29" t="s">
        <v>1101</v>
      </c>
      <c r="D32" s="29" t="s">
        <v>1102</v>
      </c>
      <c r="E32" s="29" t="s">
        <v>1103</v>
      </c>
      <c r="F32" s="29" t="s">
        <v>1104</v>
      </c>
      <c r="G32" s="29" t="s">
        <v>1105</v>
      </c>
      <c r="H32" s="29" t="s">
        <v>1106</v>
      </c>
      <c r="I32" s="29" t="s">
        <v>1107</v>
      </c>
      <c r="J32" s="29" t="s">
        <v>1105</v>
      </c>
      <c r="K32" s="29"/>
    </row>
    <row r="33" spans="1:11" x14ac:dyDescent="0.25">
      <c r="A33" s="29" t="s">
        <v>1108</v>
      </c>
      <c r="B33" s="29" t="s">
        <v>1109</v>
      </c>
      <c r="C33" s="29" t="s">
        <v>1110</v>
      </c>
      <c r="D33" s="29" t="s">
        <v>1111</v>
      </c>
      <c r="E33" s="29"/>
      <c r="F33" s="29"/>
      <c r="G33" s="29"/>
      <c r="H33" s="29" t="s">
        <v>1112</v>
      </c>
      <c r="I33" s="29" t="s">
        <v>1113</v>
      </c>
      <c r="J33" s="29" t="s">
        <v>1114</v>
      </c>
      <c r="K33" s="29"/>
    </row>
    <row r="34" spans="1:11" x14ac:dyDescent="0.25">
      <c r="A34" s="29" t="s">
        <v>1115</v>
      </c>
      <c r="B34" s="29" t="s">
        <v>1116</v>
      </c>
      <c r="C34" s="29" t="s">
        <v>1117</v>
      </c>
      <c r="D34" s="29" t="s">
        <v>1118</v>
      </c>
      <c r="E34" s="29" t="s">
        <v>1119</v>
      </c>
      <c r="F34" s="29" t="s">
        <v>1119</v>
      </c>
      <c r="G34" s="29" t="s">
        <v>1120</v>
      </c>
      <c r="H34" s="29" t="s">
        <v>1121</v>
      </c>
      <c r="I34" s="29" t="s">
        <v>1122</v>
      </c>
      <c r="J34" s="29" t="s">
        <v>1120</v>
      </c>
      <c r="K34" s="29"/>
    </row>
    <row r="35" spans="1:11" x14ac:dyDescent="0.25">
      <c r="A35" s="29" t="s">
        <v>1123</v>
      </c>
      <c r="B35" s="29"/>
      <c r="C35" s="29" t="s">
        <v>1124</v>
      </c>
      <c r="D35" s="29" t="s">
        <v>1125</v>
      </c>
      <c r="E35" s="29"/>
      <c r="F35" s="29"/>
      <c r="G35" s="29"/>
      <c r="H35" s="29"/>
      <c r="I35" s="29" t="s">
        <v>1126</v>
      </c>
      <c r="J35" s="29" t="s">
        <v>1127</v>
      </c>
      <c r="K35" s="29"/>
    </row>
    <row r="36" spans="1:11" x14ac:dyDescent="0.25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</row>
    <row r="37" spans="1:11" x14ac:dyDescent="0.25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</row>
    <row r="38" spans="1:11" x14ac:dyDescent="0.25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</row>
    <row r="39" spans="1:11" x14ac:dyDescent="0.2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</row>
    <row r="40" spans="1:11" x14ac:dyDescent="0.25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</row>
    <row r="41" spans="1:11" x14ac:dyDescent="0.25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</row>
    <row r="42" spans="1:11" x14ac:dyDescent="0.25">
      <c r="A42" s="29"/>
      <c r="B42" s="34" t="s">
        <v>2231</v>
      </c>
      <c r="C42" s="35">
        <v>7</v>
      </c>
      <c r="D42" s="29"/>
      <c r="E42" s="29"/>
      <c r="F42" s="29"/>
      <c r="G42" s="29"/>
      <c r="H42" s="29"/>
      <c r="I42" s="29"/>
      <c r="J42" s="29"/>
      <c r="K42" s="29"/>
    </row>
    <row r="43" spans="1:11" x14ac:dyDescent="0.25">
      <c r="A43" s="29"/>
      <c r="B43" s="34" t="s">
        <v>2232</v>
      </c>
      <c r="C43" s="29">
        <v>4</v>
      </c>
      <c r="D43" s="29"/>
      <c r="E43" s="29"/>
      <c r="F43" s="29"/>
      <c r="G43" s="29"/>
      <c r="H43" s="29"/>
      <c r="I43" s="29"/>
      <c r="J43" s="29"/>
      <c r="K43" s="29"/>
    </row>
    <row r="44" spans="1:11" x14ac:dyDescent="0.25">
      <c r="A44" s="29"/>
      <c r="B44" s="34" t="s">
        <v>2233</v>
      </c>
      <c r="C44" s="29">
        <v>2</v>
      </c>
      <c r="D44" s="29"/>
      <c r="E44" s="29"/>
      <c r="F44" s="29"/>
      <c r="G44" s="29"/>
      <c r="H44" s="29"/>
      <c r="I44" s="29"/>
      <c r="J44" s="29"/>
      <c r="K44" s="29"/>
    </row>
    <row r="45" spans="1:11" x14ac:dyDescent="0.25">
      <c r="A45" s="29"/>
      <c r="B45" s="34"/>
      <c r="C45" s="29"/>
      <c r="D45" s="29"/>
      <c r="E45" s="29"/>
      <c r="F45" s="29"/>
      <c r="G45" s="29"/>
      <c r="H45" s="29"/>
      <c r="I45" s="29"/>
      <c r="J45" s="29"/>
      <c r="K45" s="29"/>
    </row>
    <row r="46" spans="1:11" x14ac:dyDescent="0.25">
      <c r="A46" s="29"/>
      <c r="B46" s="34" t="s">
        <v>2234</v>
      </c>
      <c r="C46" s="29">
        <f xml:space="preserve"> C42/(C42+ C43)</f>
        <v>0.63636363636363635</v>
      </c>
      <c r="D46" s="29"/>
      <c r="E46" s="29"/>
      <c r="F46" s="29"/>
      <c r="G46" s="29"/>
      <c r="H46" s="29"/>
      <c r="I46" s="29"/>
      <c r="J46" s="29"/>
      <c r="K46" s="29"/>
    </row>
    <row r="47" spans="1:11" x14ac:dyDescent="0.25">
      <c r="A47" s="29"/>
      <c r="B47" s="34" t="s">
        <v>2235</v>
      </c>
      <c r="C47" s="29">
        <f xml:space="preserve"> C42/(C42+C44)</f>
        <v>0.77777777777777779</v>
      </c>
      <c r="D47" s="29"/>
      <c r="E47" s="29"/>
      <c r="F47" s="29"/>
      <c r="G47" s="29"/>
      <c r="H47" s="29"/>
      <c r="I47" s="29"/>
      <c r="J47" s="29"/>
      <c r="K47" s="29"/>
    </row>
    <row r="48" spans="1:11" x14ac:dyDescent="0.25">
      <c r="A48" s="29"/>
      <c r="B48" s="34" t="s">
        <v>2256</v>
      </c>
      <c r="C48" s="29">
        <f xml:space="preserve"> 2* C46 * C47 /(C46 + C47)</f>
        <v>0.70000000000000007</v>
      </c>
      <c r="D48" s="29"/>
      <c r="E48" s="29"/>
      <c r="F48" s="29"/>
      <c r="G48" s="29"/>
      <c r="H48" s="29"/>
      <c r="I48" s="29"/>
      <c r="J48" s="29"/>
      <c r="K48" s="29"/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I32" sqref="I32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G6"/>
  <sheetViews>
    <sheetView workbookViewId="0">
      <selection activeCell="H21" sqref="H21"/>
    </sheetView>
  </sheetViews>
  <sheetFormatPr baseColWidth="10" defaultRowHeight="15" x14ac:dyDescent="0.25"/>
  <sheetData>
    <row r="1" spans="1:7" ht="30" customHeight="1" x14ac:dyDescent="0.25">
      <c r="A1" s="8" t="s">
        <v>2054</v>
      </c>
      <c r="B1" t="s">
        <v>2055</v>
      </c>
      <c r="C1" t="s">
        <v>2056</v>
      </c>
      <c r="D1" t="s">
        <v>1158</v>
      </c>
      <c r="E1" t="s">
        <v>2057</v>
      </c>
      <c r="F1" t="s">
        <v>1436</v>
      </c>
      <c r="G1" t="s">
        <v>2058</v>
      </c>
    </row>
    <row r="2" spans="1:7" ht="47.25" x14ac:dyDescent="0.25">
      <c r="A2" t="s">
        <v>259</v>
      </c>
      <c r="B2" s="9" t="s">
        <v>1129</v>
      </c>
      <c r="C2" s="9" t="s">
        <v>1134</v>
      </c>
      <c r="D2" s="9" t="s">
        <v>1139</v>
      </c>
      <c r="E2" s="9" t="s">
        <v>1143</v>
      </c>
      <c r="F2" s="9" t="s">
        <v>1148</v>
      </c>
      <c r="G2" t="s">
        <v>2059</v>
      </c>
    </row>
    <row r="3" spans="1:7" ht="62.25" x14ac:dyDescent="0.25">
      <c r="A3" t="s">
        <v>300</v>
      </c>
      <c r="B3" s="9" t="s">
        <v>1130</v>
      </c>
      <c r="C3" s="9" t="s">
        <v>1135</v>
      </c>
      <c r="D3" s="9" t="s">
        <v>1140</v>
      </c>
      <c r="E3" s="9" t="s">
        <v>1144</v>
      </c>
      <c r="F3" s="9" t="s">
        <v>1149</v>
      </c>
      <c r="G3" t="s">
        <v>2060</v>
      </c>
    </row>
    <row r="4" spans="1:7" ht="62.25" x14ac:dyDescent="0.25">
      <c r="A4" t="s">
        <v>264</v>
      </c>
      <c r="B4" s="9" t="s">
        <v>1131</v>
      </c>
      <c r="C4" s="9" t="s">
        <v>1136</v>
      </c>
      <c r="D4" s="9" t="s">
        <v>1140</v>
      </c>
      <c r="E4" s="9" t="s">
        <v>1145</v>
      </c>
      <c r="F4" s="9" t="s">
        <v>1150</v>
      </c>
      <c r="G4" t="s">
        <v>2061</v>
      </c>
    </row>
    <row r="5" spans="1:7" ht="47.25" x14ac:dyDescent="0.25">
      <c r="A5" t="s">
        <v>290</v>
      </c>
      <c r="B5" s="9" t="s">
        <v>1132</v>
      </c>
      <c r="C5" s="9" t="s">
        <v>1137</v>
      </c>
      <c r="D5" s="9" t="s">
        <v>1141</v>
      </c>
      <c r="E5" s="9" t="s">
        <v>1146</v>
      </c>
      <c r="F5" s="9" t="s">
        <v>1151</v>
      </c>
      <c r="G5" t="s">
        <v>2062</v>
      </c>
    </row>
    <row r="6" spans="1:7" ht="62.25" x14ac:dyDescent="0.25">
      <c r="A6" t="s">
        <v>296</v>
      </c>
      <c r="B6" s="9" t="s">
        <v>1133</v>
      </c>
      <c r="C6" s="9" t="s">
        <v>1138</v>
      </c>
      <c r="D6" s="9" t="s">
        <v>1142</v>
      </c>
      <c r="E6" s="9" t="s">
        <v>1147</v>
      </c>
      <c r="F6" s="9" t="s">
        <v>1152</v>
      </c>
      <c r="G6" t="s">
        <v>2063</v>
      </c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AG107"/>
  <sheetViews>
    <sheetView workbookViewId="0">
      <selection activeCell="L12" sqref="L12"/>
    </sheetView>
  </sheetViews>
  <sheetFormatPr baseColWidth="10" defaultRowHeight="15" x14ac:dyDescent="0.25"/>
  <cols>
    <col min="17" max="17" width="14.5703125" bestFit="1" customWidth="1"/>
    <col min="18" max="18" width="14.28515625" style="20" bestFit="1" customWidth="1"/>
  </cols>
  <sheetData>
    <row r="1" spans="1:33" ht="30" customHeight="1" x14ac:dyDescent="0.25">
      <c r="A1" s="14" t="s">
        <v>1432</v>
      </c>
      <c r="B1" s="14" t="s">
        <v>1433</v>
      </c>
      <c r="C1" s="14" t="s">
        <v>1155</v>
      </c>
      <c r="D1" s="14" t="s">
        <v>1156</v>
      </c>
      <c r="E1" s="14"/>
      <c r="G1" s="14" t="s">
        <v>31</v>
      </c>
      <c r="H1" s="14" t="s">
        <v>1153</v>
      </c>
      <c r="I1" s="8" t="s">
        <v>1154</v>
      </c>
      <c r="J1" s="14" t="s">
        <v>1155</v>
      </c>
      <c r="K1" s="14" t="s">
        <v>1156</v>
      </c>
      <c r="L1" s="14" t="s">
        <v>1157</v>
      </c>
      <c r="M1" s="14" t="s">
        <v>1430</v>
      </c>
      <c r="N1" s="14" t="s">
        <v>1431</v>
      </c>
      <c r="O1" s="14" t="s">
        <v>1432</v>
      </c>
      <c r="P1" s="14" t="s">
        <v>1433</v>
      </c>
      <c r="Q1" s="14" t="s">
        <v>1434</v>
      </c>
      <c r="R1" s="18" t="s">
        <v>1435</v>
      </c>
    </row>
    <row r="2" spans="1:33" ht="60" x14ac:dyDescent="0.25">
      <c r="A2" s="11" t="s">
        <v>1165</v>
      </c>
      <c r="B2" s="11" t="s">
        <v>1166</v>
      </c>
      <c r="C2" s="9" t="s">
        <v>1160</v>
      </c>
      <c r="D2" s="9" t="s">
        <v>1161</v>
      </c>
      <c r="E2" s="9"/>
      <c r="G2" s="9">
        <v>1</v>
      </c>
      <c r="H2" t="s">
        <v>285</v>
      </c>
      <c r="I2" s="9" t="s">
        <v>1159</v>
      </c>
      <c r="J2" s="11" t="str">
        <f t="shared" ref="J2:J33" si="0" xml:space="preserve"> """" &amp; C2 &amp; """"</f>
        <v>"Lac Léman, Lac de Genève"</v>
      </c>
      <c r="K2" s="11" t="str">
        <f t="shared" ref="K2:K33" si="1" xml:space="preserve"> """" &amp; D2 &amp; """"</f>
        <v>"Geneva, Vaud, Valais, France"</v>
      </c>
      <c r="L2" t="s">
        <v>1162</v>
      </c>
      <c r="M2" s="11" t="s">
        <v>1163</v>
      </c>
      <c r="N2" s="11" t="s">
        <v>1164</v>
      </c>
      <c r="O2" s="11" t="str">
        <f t="shared" ref="O2:O33" si="2" xml:space="preserve"> """" &amp; A2 &amp; """"</f>
        <v>"372.0"</v>
      </c>
      <c r="P2" s="11" t="str">
        <f t="shared" ref="P2:P33" si="3" xml:space="preserve"> """" &amp; B2 &amp; """"</f>
        <v>"1,220.5"</v>
      </c>
      <c r="Q2" s="11">
        <v>310</v>
      </c>
      <c r="R2" s="19" t="s">
        <v>2064</v>
      </c>
      <c r="T2" s="14"/>
      <c r="U2" s="14"/>
      <c r="V2" s="8"/>
      <c r="W2" s="14"/>
      <c r="X2" s="14"/>
      <c r="Y2" s="14"/>
      <c r="Z2" s="14"/>
      <c r="AA2" s="14"/>
      <c r="AB2" s="14"/>
      <c r="AC2" s="14"/>
      <c r="AD2" s="14"/>
      <c r="AE2" s="18"/>
      <c r="AF2" s="45"/>
      <c r="AG2" s="45"/>
    </row>
    <row r="3" spans="1:33" ht="60" x14ac:dyDescent="0.25">
      <c r="A3" s="11">
        <v>396</v>
      </c>
      <c r="B3" s="11">
        <v>1.2989999999999999</v>
      </c>
      <c r="C3" s="9" t="s">
        <v>1167</v>
      </c>
      <c r="D3" s="9" t="s">
        <v>1168</v>
      </c>
      <c r="E3" s="9"/>
      <c r="G3" s="9">
        <v>2</v>
      </c>
      <c r="H3" t="s">
        <v>268</v>
      </c>
      <c r="I3" s="9" t="s">
        <v>1159</v>
      </c>
      <c r="J3" s="11" t="str">
        <f t="shared" si="0"/>
        <v>"Bodensee"</v>
      </c>
      <c r="K3" s="11" t="str">
        <f t="shared" si="1"/>
        <v>"St. Gallen, Thurgau, Austria, Germany"</v>
      </c>
      <c r="L3" t="s">
        <v>1169</v>
      </c>
      <c r="M3" s="11" t="s">
        <v>1170</v>
      </c>
      <c r="N3" s="11" t="s">
        <v>1171</v>
      </c>
      <c r="O3" s="11" t="str">
        <f t="shared" si="2"/>
        <v>"396"</v>
      </c>
      <c r="P3" s="11" t="str">
        <f t="shared" si="3"/>
        <v>"1,299"</v>
      </c>
      <c r="Q3" s="11">
        <v>252</v>
      </c>
      <c r="R3" s="19">
        <v>827</v>
      </c>
      <c r="T3" s="9"/>
      <c r="V3" s="9"/>
      <c r="W3" s="9"/>
      <c r="X3" s="9"/>
      <c r="Z3" s="11"/>
      <c r="AA3" s="11"/>
      <c r="AB3" s="11"/>
      <c r="AC3" s="11"/>
      <c r="AD3" s="11"/>
      <c r="AE3" s="19"/>
      <c r="AF3" s="8"/>
      <c r="AG3" s="8"/>
    </row>
    <row r="4" spans="1:33" ht="60" x14ac:dyDescent="0.25">
      <c r="A4" s="11" t="s">
        <v>1177</v>
      </c>
      <c r="B4" s="11">
        <v>1.409</v>
      </c>
      <c r="C4" s="9" t="s">
        <v>1173</v>
      </c>
      <c r="D4" s="9" t="s">
        <v>1174</v>
      </c>
      <c r="E4" s="9"/>
      <c r="G4" s="9">
        <v>3</v>
      </c>
      <c r="H4" t="s">
        <v>1172</v>
      </c>
      <c r="I4" s="9" t="s">
        <v>1159</v>
      </c>
      <c r="J4" s="11" t="str">
        <f t="shared" si="0"/>
        <v>"Lac de Neuchâtel, Neuenburgersee"</v>
      </c>
      <c r="K4" s="11" t="str">
        <f t="shared" si="1"/>
        <v>"Berne, Fribourg, Neuchâtel, Vaud"</v>
      </c>
      <c r="L4" t="s">
        <v>1169</v>
      </c>
      <c r="M4" s="11" t="s">
        <v>1175</v>
      </c>
      <c r="N4" s="11" t="s">
        <v>1176</v>
      </c>
      <c r="O4" s="11" t="str">
        <f t="shared" si="2"/>
        <v>"429.4"</v>
      </c>
      <c r="P4" s="11" t="str">
        <f t="shared" si="3"/>
        <v>"1,409"</v>
      </c>
      <c r="Q4" s="11">
        <v>153</v>
      </c>
      <c r="R4" s="19">
        <v>502</v>
      </c>
      <c r="T4" s="9"/>
      <c r="V4" s="9"/>
      <c r="W4" s="9"/>
      <c r="X4" s="9"/>
      <c r="Z4" s="11"/>
      <c r="AA4" s="11"/>
      <c r="AB4" s="11"/>
      <c r="AC4" s="11"/>
      <c r="AD4" s="11"/>
      <c r="AE4" s="19"/>
      <c r="AF4" s="11"/>
      <c r="AG4" s="11"/>
    </row>
    <row r="5" spans="1:33" ht="30" x14ac:dyDescent="0.25">
      <c r="A5" s="11" t="s">
        <v>1183</v>
      </c>
      <c r="B5" s="11">
        <v>635</v>
      </c>
      <c r="C5" s="9" t="s">
        <v>1178</v>
      </c>
      <c r="D5" s="9" t="s">
        <v>1179</v>
      </c>
      <c r="E5" s="9"/>
      <c r="G5" s="9">
        <v>4</v>
      </c>
      <c r="H5" t="s">
        <v>288</v>
      </c>
      <c r="I5" s="9" t="s">
        <v>1159</v>
      </c>
      <c r="J5" s="11" t="str">
        <f t="shared" si="0"/>
        <v>"Lago Maggiore"</v>
      </c>
      <c r="K5" s="11" t="str">
        <f t="shared" si="1"/>
        <v>"Ticino, Italy"</v>
      </c>
      <c r="L5" t="s">
        <v>1180</v>
      </c>
      <c r="M5" s="11" t="s">
        <v>1181</v>
      </c>
      <c r="N5" s="11" t="s">
        <v>1182</v>
      </c>
      <c r="O5" s="11" t="str">
        <f t="shared" si="2"/>
        <v>"193.5"</v>
      </c>
      <c r="P5" s="11" t="str">
        <f t="shared" si="3"/>
        <v>"635"</v>
      </c>
      <c r="Q5" s="11">
        <v>372</v>
      </c>
      <c r="R5" s="19" t="s">
        <v>2065</v>
      </c>
      <c r="T5" s="9"/>
      <c r="V5" s="9"/>
      <c r="W5" s="9"/>
      <c r="X5" s="9"/>
      <c r="Z5" s="11"/>
      <c r="AA5" s="11"/>
      <c r="AB5" s="11"/>
      <c r="AC5" s="11"/>
      <c r="AD5" s="11"/>
      <c r="AE5" s="19"/>
      <c r="AF5" s="11"/>
      <c r="AG5" s="11"/>
    </row>
    <row r="6" spans="1:33" ht="75" x14ac:dyDescent="0.25">
      <c r="A6" s="11" t="s">
        <v>1188</v>
      </c>
      <c r="B6" s="11">
        <v>1.423</v>
      </c>
      <c r="C6" s="9" t="s">
        <v>1184</v>
      </c>
      <c r="D6" s="9" t="s">
        <v>1185</v>
      </c>
      <c r="E6" s="9"/>
      <c r="G6" s="9">
        <v>5</v>
      </c>
      <c r="H6" t="s">
        <v>286</v>
      </c>
      <c r="I6" s="9" t="s">
        <v>1159</v>
      </c>
      <c r="J6" s="11" t="str">
        <f t="shared" si="0"/>
        <v>"Vierwaldstättersee"</v>
      </c>
      <c r="K6" s="11" t="str">
        <f t="shared" si="1"/>
        <v>"Lucerne, Nidwalden, Obwalden, Schwyz, Uri"</v>
      </c>
      <c r="L6" t="s">
        <v>1169</v>
      </c>
      <c r="M6" s="11" t="s">
        <v>1186</v>
      </c>
      <c r="N6" s="11" t="s">
        <v>1187</v>
      </c>
      <c r="O6" s="11" t="str">
        <f t="shared" si="2"/>
        <v>"433.6"</v>
      </c>
      <c r="P6" s="11" t="str">
        <f t="shared" si="3"/>
        <v>"1,423"</v>
      </c>
      <c r="Q6" s="11">
        <v>214</v>
      </c>
      <c r="R6" s="19">
        <v>702</v>
      </c>
      <c r="T6" s="9"/>
      <c r="V6" s="9"/>
      <c r="W6" s="9"/>
      <c r="X6" s="9"/>
      <c r="Z6" s="11"/>
      <c r="AA6" s="11"/>
      <c r="AB6" s="11"/>
      <c r="AC6" s="11"/>
      <c r="AD6" s="11"/>
      <c r="AE6" s="19"/>
      <c r="AF6" s="11"/>
      <c r="AG6" s="11"/>
    </row>
    <row r="7" spans="1:33" ht="45" x14ac:dyDescent="0.25">
      <c r="A7" s="11" t="s">
        <v>1193</v>
      </c>
      <c r="B7" s="11">
        <v>1.3320000000000001</v>
      </c>
      <c r="C7" s="9" t="s">
        <v>1189</v>
      </c>
      <c r="D7" s="9" t="s">
        <v>1190</v>
      </c>
      <c r="E7" s="9"/>
      <c r="G7" s="9">
        <v>6</v>
      </c>
      <c r="H7" t="s">
        <v>314</v>
      </c>
      <c r="I7" s="9" t="s">
        <v>1159</v>
      </c>
      <c r="J7" s="11" t="str">
        <f t="shared" si="0"/>
        <v>"Zürichsee"</v>
      </c>
      <c r="K7" s="11" t="str">
        <f t="shared" si="1"/>
        <v>"St. Gallen, Schwyz, Zurich"</v>
      </c>
      <c r="L7" t="s">
        <v>1169</v>
      </c>
      <c r="M7" s="11" t="s">
        <v>1191</v>
      </c>
      <c r="N7" s="11" t="s">
        <v>1192</v>
      </c>
      <c r="O7" s="11" t="str">
        <f t="shared" si="2"/>
        <v>"405.9"</v>
      </c>
      <c r="P7" s="11" t="str">
        <f t="shared" si="3"/>
        <v>"1,332"</v>
      </c>
      <c r="Q7" s="11">
        <v>136</v>
      </c>
      <c r="R7" s="19">
        <v>446</v>
      </c>
      <c r="T7" s="9"/>
      <c r="V7" s="9"/>
      <c r="W7" s="9"/>
      <c r="X7" s="9"/>
      <c r="Z7" s="11"/>
      <c r="AA7" s="11"/>
      <c r="AB7" s="11"/>
      <c r="AC7" s="11"/>
      <c r="AD7" s="11"/>
      <c r="AE7" s="19"/>
      <c r="AF7" s="11"/>
      <c r="AG7" s="11"/>
    </row>
    <row r="8" spans="1:33" ht="60" x14ac:dyDescent="0.25">
      <c r="A8" s="11">
        <v>396</v>
      </c>
      <c r="B8" s="11">
        <v>1.2989999999999999</v>
      </c>
      <c r="C8" s="9" t="s">
        <v>1194</v>
      </c>
      <c r="D8" s="9" t="s">
        <v>1195</v>
      </c>
      <c r="E8" s="9"/>
      <c r="G8" s="9">
        <v>7</v>
      </c>
      <c r="H8" t="s">
        <v>1194</v>
      </c>
      <c r="I8" s="9" t="s">
        <v>1159</v>
      </c>
      <c r="J8" s="11" t="str">
        <f t="shared" si="0"/>
        <v>"Untersee"</v>
      </c>
      <c r="K8" s="11" t="str">
        <f t="shared" si="1"/>
        <v>"Schaffhausen, Thurgau, Germany"</v>
      </c>
      <c r="L8" t="s">
        <v>1169</v>
      </c>
      <c r="M8" s="11" t="s">
        <v>1196</v>
      </c>
      <c r="N8" s="11" t="s">
        <v>1197</v>
      </c>
      <c r="O8" s="11" t="str">
        <f t="shared" si="2"/>
        <v>"396"</v>
      </c>
      <c r="P8" s="11" t="str">
        <f t="shared" si="3"/>
        <v>"1,299"</v>
      </c>
      <c r="Q8" s="11">
        <v>37</v>
      </c>
      <c r="R8" s="19">
        <v>121</v>
      </c>
      <c r="T8" s="9"/>
      <c r="V8" s="9"/>
      <c r="W8" s="9"/>
      <c r="X8" s="9"/>
      <c r="Z8" s="11"/>
      <c r="AA8" s="11"/>
      <c r="AB8" s="11"/>
      <c r="AC8" s="11"/>
      <c r="AD8" s="11"/>
      <c r="AE8" s="19"/>
      <c r="AF8" s="11"/>
      <c r="AG8" s="11"/>
    </row>
    <row r="9" spans="1:33" ht="45" x14ac:dyDescent="0.25">
      <c r="A9" s="11" t="s">
        <v>1201</v>
      </c>
      <c r="B9" s="11">
        <v>887</v>
      </c>
      <c r="C9" s="9" t="s">
        <v>1198</v>
      </c>
      <c r="D9" s="9" t="s">
        <v>1179</v>
      </c>
      <c r="E9" s="9"/>
      <c r="G9" s="9">
        <v>8</v>
      </c>
      <c r="H9" t="s">
        <v>287</v>
      </c>
      <c r="I9" s="9" t="s">
        <v>1159</v>
      </c>
      <c r="J9" s="11" t="str">
        <f t="shared" si="0"/>
        <v>"Ceresio, Lago di Lugano"</v>
      </c>
      <c r="K9" s="11" t="str">
        <f t="shared" si="1"/>
        <v>"Ticino, Italy"</v>
      </c>
      <c r="L9" t="s">
        <v>1180</v>
      </c>
      <c r="M9" s="11" t="s">
        <v>1199</v>
      </c>
      <c r="N9" s="11" t="s">
        <v>1200</v>
      </c>
      <c r="O9" s="11" t="str">
        <f t="shared" si="2"/>
        <v>"270.5"</v>
      </c>
      <c r="P9" s="11" t="str">
        <f t="shared" si="3"/>
        <v>"887"</v>
      </c>
      <c r="Q9" s="11">
        <v>288</v>
      </c>
      <c r="R9" s="19">
        <v>945</v>
      </c>
      <c r="T9" s="9"/>
      <c r="V9" s="9"/>
      <c r="W9" s="9"/>
      <c r="X9" s="9"/>
      <c r="Z9" s="11"/>
      <c r="AA9" s="11"/>
      <c r="AB9" s="11"/>
      <c r="AC9" s="11"/>
      <c r="AD9" s="11"/>
      <c r="AE9" s="19"/>
      <c r="AF9" s="11"/>
      <c r="AG9" s="11"/>
    </row>
    <row r="10" spans="1:33" ht="30" x14ac:dyDescent="0.25">
      <c r="A10" s="11" t="s">
        <v>1206</v>
      </c>
      <c r="B10" s="11">
        <v>1.83</v>
      </c>
      <c r="C10" s="9" t="s">
        <v>1202</v>
      </c>
      <c r="D10" t="s">
        <v>1203</v>
      </c>
      <c r="G10" s="9">
        <v>9</v>
      </c>
      <c r="H10" t="s">
        <v>312</v>
      </c>
      <c r="I10" s="9" t="s">
        <v>1159</v>
      </c>
      <c r="J10" s="11" t="str">
        <f t="shared" si="0"/>
        <v>"Thunersee"</v>
      </c>
      <c r="K10" s="11" t="str">
        <f t="shared" si="1"/>
        <v>"Berne"</v>
      </c>
      <c r="L10" t="s">
        <v>1169</v>
      </c>
      <c r="M10" s="11" t="s">
        <v>1204</v>
      </c>
      <c r="N10" s="11" t="s">
        <v>1205</v>
      </c>
      <c r="O10" s="11" t="str">
        <f t="shared" si="2"/>
        <v>"557.8"</v>
      </c>
      <c r="P10" s="11" t="str">
        <f t="shared" si="3"/>
        <v>"1,83"</v>
      </c>
      <c r="Q10" s="11">
        <v>215</v>
      </c>
      <c r="R10" s="19">
        <v>705</v>
      </c>
      <c r="T10" s="9"/>
      <c r="V10" s="9"/>
      <c r="W10" s="9"/>
      <c r="X10" s="9"/>
      <c r="Z10" s="11"/>
      <c r="AA10" s="11"/>
      <c r="AB10" s="11"/>
      <c r="AC10" s="11"/>
      <c r="AD10" s="11"/>
      <c r="AE10" s="19"/>
      <c r="AF10" s="11"/>
      <c r="AG10" s="11"/>
    </row>
    <row r="11" spans="1:33" ht="45" x14ac:dyDescent="0.25">
      <c r="A11" s="11" t="s">
        <v>1212</v>
      </c>
      <c r="B11" s="11">
        <v>1.4079999999999999</v>
      </c>
      <c r="C11" s="9" t="s">
        <v>1208</v>
      </c>
      <c r="D11" s="9" t="s">
        <v>1209</v>
      </c>
      <c r="E11" s="9"/>
      <c r="G11" s="9">
        <v>10</v>
      </c>
      <c r="H11" t="s">
        <v>1207</v>
      </c>
      <c r="I11" s="9" t="s">
        <v>1159</v>
      </c>
      <c r="J11" s="11" t="str">
        <f t="shared" si="0"/>
        <v>"Lac de Bienne, Bielersee"</v>
      </c>
      <c r="K11" s="11" t="str">
        <f t="shared" si="1"/>
        <v>"Berne, Neuchâtel"</v>
      </c>
      <c r="L11" t="s">
        <v>1169</v>
      </c>
      <c r="M11" s="11" t="s">
        <v>1210</v>
      </c>
      <c r="N11" s="11" t="s">
        <v>1211</v>
      </c>
      <c r="O11" s="11" t="str">
        <f t="shared" si="2"/>
        <v>"429.1"</v>
      </c>
      <c r="P11" s="11" t="str">
        <f t="shared" si="3"/>
        <v>"1,408"</v>
      </c>
      <c r="Q11" s="11">
        <v>74</v>
      </c>
      <c r="R11" s="19">
        <v>243</v>
      </c>
      <c r="T11" s="9"/>
      <c r="V11" s="9"/>
      <c r="W11" s="9"/>
      <c r="Z11" s="11"/>
      <c r="AA11" s="11"/>
      <c r="AB11" s="11"/>
      <c r="AC11" s="11"/>
      <c r="AD11" s="11"/>
      <c r="AE11" s="19"/>
      <c r="AF11" s="11"/>
      <c r="AG11" s="11"/>
    </row>
    <row r="12" spans="1:33" ht="45" x14ac:dyDescent="0.25">
      <c r="A12" s="11" t="s">
        <v>1217</v>
      </c>
      <c r="B12" s="11">
        <v>1.357</v>
      </c>
      <c r="C12" s="9" t="s">
        <v>1213</v>
      </c>
      <c r="D12" s="9" t="s">
        <v>1214</v>
      </c>
      <c r="E12" s="9"/>
      <c r="G12" s="9">
        <v>11</v>
      </c>
      <c r="H12" t="s">
        <v>304</v>
      </c>
      <c r="I12" s="9" t="s">
        <v>1159</v>
      </c>
      <c r="J12" s="11" t="str">
        <f t="shared" si="0"/>
        <v>"Zugersee"</v>
      </c>
      <c r="K12" s="11" t="str">
        <f t="shared" si="1"/>
        <v>"Lucerne, Schwyz, Zug"</v>
      </c>
      <c r="L12" t="s">
        <v>1169</v>
      </c>
      <c r="M12" s="11" t="s">
        <v>1215</v>
      </c>
      <c r="N12" s="11" t="s">
        <v>1216</v>
      </c>
      <c r="O12" s="11" t="str">
        <f t="shared" si="2"/>
        <v>"413.6"</v>
      </c>
      <c r="P12" s="11" t="str">
        <f t="shared" si="3"/>
        <v>"1,357"</v>
      </c>
      <c r="Q12" s="11">
        <v>198</v>
      </c>
      <c r="R12" s="19">
        <v>650</v>
      </c>
      <c r="T12" s="9"/>
      <c r="V12" s="9"/>
      <c r="W12" s="9"/>
      <c r="X12" s="9"/>
      <c r="Z12" s="11"/>
      <c r="AA12" s="11"/>
      <c r="AB12" s="11"/>
      <c r="AC12" s="11"/>
      <c r="AD12" s="11"/>
      <c r="AE12" s="19"/>
      <c r="AF12" s="11"/>
      <c r="AG12" s="11"/>
    </row>
    <row r="13" spans="1:33" ht="30" x14ac:dyDescent="0.25">
      <c r="A13" s="11" t="s">
        <v>1220</v>
      </c>
      <c r="B13" s="11">
        <v>1.849</v>
      </c>
      <c r="C13" s="9" t="s">
        <v>1218</v>
      </c>
      <c r="D13" t="s">
        <v>1203</v>
      </c>
      <c r="G13" s="9">
        <v>12</v>
      </c>
      <c r="H13" t="s">
        <v>267</v>
      </c>
      <c r="I13" s="9" t="s">
        <v>1159</v>
      </c>
      <c r="J13" s="11" t="str">
        <f t="shared" si="0"/>
        <v>"Brienzersee"</v>
      </c>
      <c r="K13" s="11" t="str">
        <f t="shared" si="1"/>
        <v>"Berne"</v>
      </c>
      <c r="L13" t="s">
        <v>1169</v>
      </c>
      <c r="M13" s="11" t="s">
        <v>1219</v>
      </c>
      <c r="N13" s="12">
        <v>18933</v>
      </c>
      <c r="O13" s="11" t="str">
        <f t="shared" si="2"/>
        <v>"563.7"</v>
      </c>
      <c r="P13" s="11" t="str">
        <f t="shared" si="3"/>
        <v>"1,849"</v>
      </c>
      <c r="Q13" s="11">
        <v>260</v>
      </c>
      <c r="R13" s="19">
        <v>850</v>
      </c>
      <c r="T13" s="9"/>
      <c r="V13" s="9"/>
      <c r="W13" s="9"/>
      <c r="X13" s="9"/>
      <c r="Z13" s="11"/>
      <c r="AA13" s="11"/>
      <c r="AB13" s="11"/>
      <c r="AC13" s="11"/>
      <c r="AD13" s="11"/>
      <c r="AE13" s="19"/>
      <c r="AF13" s="11"/>
      <c r="AG13" s="11"/>
    </row>
    <row r="14" spans="1:33" ht="30" x14ac:dyDescent="0.25">
      <c r="A14" s="11" t="s">
        <v>1224</v>
      </c>
      <c r="B14" s="11" t="s">
        <v>1225</v>
      </c>
      <c r="C14" s="9" t="s">
        <v>313</v>
      </c>
      <c r="D14" s="9" t="s">
        <v>1222</v>
      </c>
      <c r="E14" s="9"/>
      <c r="G14" s="9">
        <v>13</v>
      </c>
      <c r="H14" t="s">
        <v>1221</v>
      </c>
      <c r="I14" s="9" t="s">
        <v>1159</v>
      </c>
      <c r="J14" s="11" t="str">
        <f t="shared" si="0"/>
        <v>"Walensee"</v>
      </c>
      <c r="K14" s="11" t="str">
        <f t="shared" si="1"/>
        <v>"Glarus, St. Gallen"</v>
      </c>
      <c r="L14" t="s">
        <v>1169</v>
      </c>
      <c r="M14" s="11" t="s">
        <v>1223</v>
      </c>
      <c r="N14" s="12">
        <v>12298</v>
      </c>
      <c r="O14" s="11" t="str">
        <f t="shared" si="2"/>
        <v>"419.0"</v>
      </c>
      <c r="P14" s="11" t="str">
        <f t="shared" si="3"/>
        <v>"1,374.7"</v>
      </c>
      <c r="Q14" s="11">
        <v>150</v>
      </c>
      <c r="R14" s="19">
        <v>490</v>
      </c>
      <c r="T14" s="9"/>
      <c r="V14" s="9"/>
      <c r="W14" s="9"/>
      <c r="Z14" s="11"/>
      <c r="AA14" s="12"/>
      <c r="AB14" s="11"/>
      <c r="AC14" s="11"/>
      <c r="AD14" s="11"/>
      <c r="AE14" s="19"/>
      <c r="AF14" s="11"/>
      <c r="AG14" s="11"/>
    </row>
    <row r="15" spans="1:33" ht="60" x14ac:dyDescent="0.25">
      <c r="A15" s="11" t="s">
        <v>1230</v>
      </c>
      <c r="B15" s="11">
        <v>1.4079999999999999</v>
      </c>
      <c r="C15" s="9" t="s">
        <v>1227</v>
      </c>
      <c r="D15" s="9" t="s">
        <v>1228</v>
      </c>
      <c r="E15" s="9"/>
      <c r="G15" s="9">
        <v>14</v>
      </c>
      <c r="H15" t="s">
        <v>1226</v>
      </c>
      <c r="I15" s="9" t="s">
        <v>1159</v>
      </c>
      <c r="J15" s="11" t="str">
        <f t="shared" si="0"/>
        <v>"Lac de Morat (Murtensee)"</v>
      </c>
      <c r="K15" s="11" t="str">
        <f t="shared" si="1"/>
        <v>"Fribourg, Vaud"</v>
      </c>
      <c r="L15" t="s">
        <v>1169</v>
      </c>
      <c r="M15" s="11" t="s">
        <v>1229</v>
      </c>
      <c r="N15" s="12">
        <v>29434</v>
      </c>
      <c r="O15" s="11" t="str">
        <f t="shared" si="2"/>
        <v>"429.2"</v>
      </c>
      <c r="P15" s="11" t="str">
        <f t="shared" si="3"/>
        <v>"1,408"</v>
      </c>
      <c r="Q15" s="11">
        <v>46</v>
      </c>
      <c r="R15" s="19">
        <v>151</v>
      </c>
      <c r="T15" s="9"/>
      <c r="V15" s="9"/>
      <c r="W15" s="9"/>
      <c r="X15" s="9"/>
      <c r="Z15" s="11"/>
      <c r="AA15" s="12"/>
      <c r="AB15" s="11"/>
      <c r="AC15" s="11"/>
      <c r="AD15" s="11"/>
      <c r="AE15" s="19"/>
      <c r="AF15" s="11"/>
      <c r="AG15" s="11"/>
    </row>
    <row r="16" spans="1:33" ht="30" x14ac:dyDescent="0.25">
      <c r="A16" s="11" t="s">
        <v>1235</v>
      </c>
      <c r="B16" s="11">
        <v>1.653</v>
      </c>
      <c r="C16" s="9" t="s">
        <v>1232</v>
      </c>
      <c r="D16" t="s">
        <v>1233</v>
      </c>
      <c r="G16" s="9">
        <v>15</v>
      </c>
      <c r="H16" t="s">
        <v>1231</v>
      </c>
      <c r="I16" s="9" t="s">
        <v>1159</v>
      </c>
      <c r="J16" s="11" t="str">
        <f t="shared" si="0"/>
        <v>"Sempachersee"</v>
      </c>
      <c r="K16" s="11" t="str">
        <f t="shared" si="1"/>
        <v>"Lucerne"</v>
      </c>
      <c r="L16" t="s">
        <v>1169</v>
      </c>
      <c r="M16" s="11" t="s">
        <v>1234</v>
      </c>
      <c r="N16" s="12">
        <v>19845</v>
      </c>
      <c r="O16" s="11" t="str">
        <f t="shared" si="2"/>
        <v>"503.8"</v>
      </c>
      <c r="P16" s="11" t="str">
        <f t="shared" si="3"/>
        <v>"1,653"</v>
      </c>
      <c r="Q16" s="11">
        <v>87</v>
      </c>
      <c r="R16" s="19">
        <v>285</v>
      </c>
      <c r="T16" s="9"/>
      <c r="V16" s="9"/>
      <c r="W16" s="9"/>
      <c r="X16" s="9"/>
      <c r="Z16" s="11"/>
      <c r="AA16" s="12"/>
      <c r="AB16" s="11"/>
      <c r="AC16" s="11"/>
      <c r="AD16" s="11"/>
      <c r="AE16" s="19"/>
      <c r="AF16" s="11"/>
      <c r="AG16" s="11"/>
    </row>
    <row r="17" spans="1:33" x14ac:dyDescent="0.25">
      <c r="A17" s="11">
        <v>889</v>
      </c>
      <c r="B17" s="11">
        <v>2.9169999999999998</v>
      </c>
      <c r="C17" s="9" t="s">
        <v>1236</v>
      </c>
      <c r="D17" t="s">
        <v>1238</v>
      </c>
      <c r="G17" s="9">
        <v>16</v>
      </c>
      <c r="H17" t="s">
        <v>1236</v>
      </c>
      <c r="I17" s="9" t="s">
        <v>1237</v>
      </c>
      <c r="J17" s="11" t="str">
        <f t="shared" si="0"/>
        <v>"Sihlsee"</v>
      </c>
      <c r="K17" s="11" t="str">
        <f t="shared" si="1"/>
        <v>"Schwyz"</v>
      </c>
      <c r="L17" t="s">
        <v>1169</v>
      </c>
      <c r="M17" s="12">
        <v>26573</v>
      </c>
      <c r="N17" s="12">
        <v>41730</v>
      </c>
      <c r="O17" s="11" t="str">
        <f t="shared" si="2"/>
        <v>"889"</v>
      </c>
      <c r="P17" s="11" t="str">
        <f t="shared" si="3"/>
        <v>"2,917"</v>
      </c>
      <c r="Q17" s="11">
        <v>23</v>
      </c>
      <c r="R17" s="19">
        <v>75</v>
      </c>
      <c r="T17" s="9"/>
      <c r="V17" s="9"/>
      <c r="W17" s="9"/>
      <c r="Z17" s="11"/>
      <c r="AA17" s="12"/>
      <c r="AB17" s="11"/>
      <c r="AC17" s="11"/>
      <c r="AD17" s="11"/>
      <c r="AE17" s="19"/>
      <c r="AF17" s="11"/>
      <c r="AG17" s="11"/>
    </row>
    <row r="18" spans="1:33" ht="30" x14ac:dyDescent="0.25">
      <c r="A18" s="11" t="s">
        <v>1242</v>
      </c>
      <c r="B18" s="11">
        <v>1.472</v>
      </c>
      <c r="C18" s="9" t="s">
        <v>1240</v>
      </c>
      <c r="D18" s="9" t="s">
        <v>1241</v>
      </c>
      <c r="E18" s="9"/>
      <c r="G18" s="9">
        <v>17</v>
      </c>
      <c r="H18" t="s">
        <v>1239</v>
      </c>
      <c r="I18" s="9" t="s">
        <v>1159</v>
      </c>
      <c r="J18" s="11" t="str">
        <f t="shared" si="0"/>
        <v>"Hallwilersee"</v>
      </c>
      <c r="K18" s="11" t="str">
        <f t="shared" si="1"/>
        <v>"Aargau, Lucerne"</v>
      </c>
      <c r="L18" t="s">
        <v>1169</v>
      </c>
      <c r="M18" s="12">
        <v>44470</v>
      </c>
      <c r="N18" s="12">
        <v>34394</v>
      </c>
      <c r="O18" s="11" t="str">
        <f t="shared" si="2"/>
        <v>"448.7"</v>
      </c>
      <c r="P18" s="11" t="str">
        <f t="shared" si="3"/>
        <v>"1,472"</v>
      </c>
      <c r="Q18" s="11">
        <v>47</v>
      </c>
      <c r="R18" s="19">
        <v>154</v>
      </c>
      <c r="T18" s="9"/>
      <c r="V18" s="9"/>
      <c r="W18" s="9"/>
      <c r="Z18" s="12"/>
      <c r="AA18" s="12"/>
      <c r="AB18" s="11"/>
      <c r="AC18" s="11"/>
      <c r="AD18" s="11"/>
      <c r="AE18" s="19"/>
      <c r="AF18" s="11"/>
      <c r="AG18" s="11"/>
    </row>
    <row r="19" spans="1:33" ht="30" x14ac:dyDescent="0.25">
      <c r="A19" s="11">
        <v>677</v>
      </c>
      <c r="B19" s="11">
        <v>2.2210000000000001</v>
      </c>
      <c r="C19" s="9" t="s">
        <v>1244</v>
      </c>
      <c r="D19" t="s">
        <v>1245</v>
      </c>
      <c r="G19" s="9">
        <v>18</v>
      </c>
      <c r="H19" t="s">
        <v>1243</v>
      </c>
      <c r="I19" s="9" t="s">
        <v>1237</v>
      </c>
      <c r="J19" s="11" t="str">
        <f t="shared" si="0"/>
        <v>"Lac de la Gruyère"</v>
      </c>
      <c r="K19" s="11" t="str">
        <f t="shared" si="1"/>
        <v>"Fribourg"</v>
      </c>
      <c r="L19" t="s">
        <v>1169</v>
      </c>
      <c r="M19" s="12">
        <v>22160</v>
      </c>
      <c r="N19" s="12">
        <v>25993</v>
      </c>
      <c r="O19" s="11" t="str">
        <f t="shared" si="2"/>
        <v>"677"</v>
      </c>
      <c r="P19" s="11" t="str">
        <f t="shared" si="3"/>
        <v>"2,221"</v>
      </c>
      <c r="Q19" s="11">
        <v>75</v>
      </c>
      <c r="R19" s="19">
        <v>246</v>
      </c>
      <c r="T19" s="9"/>
      <c r="V19" s="9"/>
      <c r="W19" s="9"/>
      <c r="X19" s="9"/>
      <c r="Z19" s="12"/>
      <c r="AA19" s="12"/>
      <c r="AB19" s="11"/>
      <c r="AC19" s="11"/>
      <c r="AD19" s="11"/>
      <c r="AE19" s="19"/>
      <c r="AF19" s="11"/>
      <c r="AG19" s="11"/>
    </row>
    <row r="20" spans="1:33" ht="30" x14ac:dyDescent="0.25">
      <c r="A20" s="11">
        <v>1.004</v>
      </c>
      <c r="B20" s="11">
        <v>3.294</v>
      </c>
      <c r="C20" s="9" t="s">
        <v>1246</v>
      </c>
      <c r="D20" t="s">
        <v>1248</v>
      </c>
      <c r="G20" s="9">
        <v>19</v>
      </c>
      <c r="H20" t="s">
        <v>1246</v>
      </c>
      <c r="I20" s="9" t="s">
        <v>1247</v>
      </c>
      <c r="J20" s="11" t="str">
        <f t="shared" si="0"/>
        <v>"Lac de Joux"</v>
      </c>
      <c r="K20" s="11" t="str">
        <f t="shared" si="1"/>
        <v>"Vaud"</v>
      </c>
      <c r="L20" t="s">
        <v>1169</v>
      </c>
      <c r="M20" s="12">
        <v>28338</v>
      </c>
      <c r="N20" s="12">
        <v>14305</v>
      </c>
      <c r="O20" s="11" t="str">
        <f t="shared" si="2"/>
        <v>"1,004"</v>
      </c>
      <c r="P20" s="11" t="str">
        <f t="shared" si="3"/>
        <v>"3,294"</v>
      </c>
      <c r="Q20" s="11">
        <v>34</v>
      </c>
      <c r="R20" s="19">
        <v>112</v>
      </c>
      <c r="T20" s="9"/>
      <c r="V20" s="9"/>
      <c r="W20" s="9"/>
      <c r="Z20" s="12"/>
      <c r="AA20" s="12"/>
      <c r="AB20" s="11"/>
      <c r="AC20" s="11"/>
      <c r="AD20" s="11"/>
      <c r="AE20" s="19"/>
      <c r="AF20" s="11"/>
      <c r="AG20" s="11"/>
    </row>
    <row r="21" spans="1:33" ht="30" x14ac:dyDescent="0.25">
      <c r="A21" s="11" t="s">
        <v>1250</v>
      </c>
      <c r="B21" s="11">
        <v>1.427</v>
      </c>
      <c r="C21" s="9" t="s">
        <v>289</v>
      </c>
      <c r="D21" t="s">
        <v>1249</v>
      </c>
      <c r="G21" s="9">
        <v>20</v>
      </c>
      <c r="H21" t="s">
        <v>289</v>
      </c>
      <c r="I21" s="9" t="s">
        <v>1159</v>
      </c>
      <c r="J21" s="11" t="str">
        <f t="shared" si="0"/>
        <v>"Greifensee"</v>
      </c>
      <c r="K21" s="11" t="str">
        <f t="shared" si="1"/>
        <v>"Zurich"</v>
      </c>
      <c r="L21" t="s">
        <v>1169</v>
      </c>
      <c r="M21" s="12">
        <v>42948</v>
      </c>
      <c r="N21" s="13">
        <v>43338</v>
      </c>
      <c r="O21" s="11" t="str">
        <f t="shared" si="2"/>
        <v>"435.1"</v>
      </c>
      <c r="P21" s="11" t="str">
        <f t="shared" si="3"/>
        <v>"1,427"</v>
      </c>
      <c r="Q21" s="11">
        <v>34</v>
      </c>
      <c r="R21" s="19">
        <v>112</v>
      </c>
      <c r="T21" s="9"/>
      <c r="V21" s="9"/>
      <c r="W21" s="9"/>
      <c r="Z21" s="12"/>
      <c r="AA21" s="12"/>
      <c r="AB21" s="11"/>
      <c r="AC21" s="11"/>
      <c r="AD21" s="11"/>
      <c r="AE21" s="19"/>
      <c r="AF21" s="11"/>
      <c r="AG21" s="11"/>
    </row>
    <row r="22" spans="1:33" ht="30" x14ac:dyDescent="0.25">
      <c r="A22" s="11" t="s">
        <v>1254</v>
      </c>
      <c r="B22" s="11">
        <v>1.5369999999999999</v>
      </c>
      <c r="C22" s="9" t="s">
        <v>1252</v>
      </c>
      <c r="D22" t="s">
        <v>1253</v>
      </c>
      <c r="G22" s="9">
        <v>21</v>
      </c>
      <c r="H22" t="s">
        <v>1251</v>
      </c>
      <c r="I22" s="9" t="s">
        <v>1159</v>
      </c>
      <c r="J22" s="11" t="str">
        <f t="shared" si="0"/>
        <v>"Sarnersee"</v>
      </c>
      <c r="K22" s="11" t="str">
        <f t="shared" si="1"/>
        <v>"Obwalden"</v>
      </c>
      <c r="L22" t="s">
        <v>1169</v>
      </c>
      <c r="M22" s="12">
        <v>14062</v>
      </c>
      <c r="N22" s="12">
        <v>31079</v>
      </c>
      <c r="O22" s="11" t="str">
        <f t="shared" si="2"/>
        <v>"468.4"</v>
      </c>
      <c r="P22" s="11" t="str">
        <f t="shared" si="3"/>
        <v>"1,537"</v>
      </c>
      <c r="Q22" s="11">
        <v>52</v>
      </c>
      <c r="R22" s="19">
        <v>171</v>
      </c>
      <c r="T22" s="9"/>
      <c r="V22" s="9"/>
      <c r="W22" s="9"/>
      <c r="Z22" s="12"/>
      <c r="AA22" s="13"/>
      <c r="AB22" s="11"/>
      <c r="AC22" s="11"/>
      <c r="AD22" s="11"/>
      <c r="AE22" s="19"/>
      <c r="AF22" s="11"/>
      <c r="AG22" s="11"/>
    </row>
    <row r="23" spans="1:33" x14ac:dyDescent="0.25">
      <c r="A23" s="11" t="s">
        <v>1257</v>
      </c>
      <c r="B23" s="11">
        <v>2.375</v>
      </c>
      <c r="C23" s="9" t="s">
        <v>1255</v>
      </c>
      <c r="D23" t="s">
        <v>1256</v>
      </c>
      <c r="G23" s="9">
        <v>22</v>
      </c>
      <c r="H23" t="s">
        <v>1255</v>
      </c>
      <c r="I23" s="9" t="s">
        <v>1159</v>
      </c>
      <c r="J23" s="11" t="str">
        <f t="shared" si="0"/>
        <v>"Ägerisee"</v>
      </c>
      <c r="K23" s="11" t="str">
        <f t="shared" si="1"/>
        <v>"Zug"</v>
      </c>
      <c r="L23" t="s">
        <v>1169</v>
      </c>
      <c r="M23" s="12">
        <v>45839</v>
      </c>
      <c r="N23" s="12">
        <v>29252</v>
      </c>
      <c r="O23" s="11" t="str">
        <f t="shared" si="2"/>
        <v>"723.9"</v>
      </c>
      <c r="P23" s="11" t="str">
        <f t="shared" si="3"/>
        <v>"2,375"</v>
      </c>
      <c r="Q23" s="11">
        <v>82</v>
      </c>
      <c r="R23" s="19">
        <v>269</v>
      </c>
      <c r="T23" s="9"/>
      <c r="V23" s="9"/>
      <c r="W23" s="9"/>
      <c r="Z23" s="12"/>
      <c r="AA23" s="12"/>
      <c r="AB23" s="11"/>
      <c r="AC23" s="11"/>
      <c r="AD23" s="11"/>
      <c r="AE23" s="19"/>
      <c r="AF23" s="11"/>
      <c r="AG23" s="11"/>
    </row>
    <row r="24" spans="1:33" ht="30" x14ac:dyDescent="0.25">
      <c r="A24" s="11" t="s">
        <v>1260</v>
      </c>
      <c r="B24" s="11" t="s">
        <v>1261</v>
      </c>
      <c r="C24" s="9" t="s">
        <v>1259</v>
      </c>
      <c r="D24" t="s">
        <v>1233</v>
      </c>
      <c r="G24" s="9">
        <v>23</v>
      </c>
      <c r="H24" t="s">
        <v>1258</v>
      </c>
      <c r="I24" s="9" t="s">
        <v>1159</v>
      </c>
      <c r="J24" s="11" t="str">
        <f t="shared" si="0"/>
        <v>"Baldeggersee"</v>
      </c>
      <c r="K24" s="11" t="str">
        <f t="shared" si="1"/>
        <v>"Lucerne"</v>
      </c>
      <c r="L24" t="s">
        <v>1169</v>
      </c>
      <c r="M24" s="12">
        <v>45413</v>
      </c>
      <c r="N24" s="13">
        <v>43133</v>
      </c>
      <c r="O24" s="11" t="str">
        <f t="shared" si="2"/>
        <v>"463.0"</v>
      </c>
      <c r="P24" s="11" t="str">
        <f t="shared" si="3"/>
        <v>"1,519.0"</v>
      </c>
      <c r="Q24" s="11">
        <v>66</v>
      </c>
      <c r="R24" s="19">
        <v>217</v>
      </c>
      <c r="T24" s="9"/>
      <c r="V24" s="9"/>
      <c r="W24" s="9"/>
      <c r="Z24" s="12"/>
      <c r="AA24" s="12"/>
      <c r="AB24" s="11"/>
      <c r="AC24" s="11"/>
      <c r="AD24" s="11"/>
      <c r="AE24" s="19"/>
      <c r="AF24" s="11"/>
      <c r="AG24" s="11"/>
    </row>
    <row r="25" spans="1:33" ht="30" x14ac:dyDescent="0.25">
      <c r="A25" s="11">
        <v>1.8049999999999999</v>
      </c>
      <c r="B25" s="11">
        <v>5.9219999999999997</v>
      </c>
      <c r="C25" s="9" t="s">
        <v>1262</v>
      </c>
      <c r="D25" s="9" t="s">
        <v>1263</v>
      </c>
      <c r="E25" s="9"/>
      <c r="G25" s="9">
        <v>24</v>
      </c>
      <c r="H25" t="s">
        <v>1262</v>
      </c>
      <c r="I25" s="9" t="s">
        <v>1237</v>
      </c>
      <c r="J25" s="11" t="str">
        <f t="shared" si="0"/>
        <v>"Lago di Livigno"</v>
      </c>
      <c r="K25" s="11" t="str">
        <f t="shared" si="1"/>
        <v>"Grisons, Italy"</v>
      </c>
      <c r="L25" t="s">
        <v>1264</v>
      </c>
      <c r="M25" s="12">
        <v>26024</v>
      </c>
      <c r="N25" s="12">
        <v>29952</v>
      </c>
      <c r="O25" s="11" t="str">
        <f t="shared" si="2"/>
        <v>"1,805"</v>
      </c>
      <c r="P25" s="11" t="str">
        <f t="shared" si="3"/>
        <v>"5,922"</v>
      </c>
      <c r="Q25" s="11">
        <v>119</v>
      </c>
      <c r="R25" s="19">
        <v>390</v>
      </c>
      <c r="T25" s="9"/>
      <c r="V25" s="9"/>
      <c r="W25" s="9"/>
      <c r="Z25" s="12"/>
      <c r="AA25" s="13"/>
      <c r="AB25" s="11"/>
      <c r="AC25" s="11"/>
      <c r="AD25" s="11"/>
      <c r="AE25" s="19"/>
      <c r="AF25" s="11"/>
      <c r="AG25" s="11"/>
    </row>
    <row r="26" spans="1:33" ht="45" x14ac:dyDescent="0.25">
      <c r="A26" s="11">
        <v>532</v>
      </c>
      <c r="B26" s="11">
        <v>1.7450000000000001</v>
      </c>
      <c r="C26" s="9" t="s">
        <v>1266</v>
      </c>
      <c r="D26" t="s">
        <v>1245</v>
      </c>
      <c r="G26" s="9">
        <v>25</v>
      </c>
      <c r="H26" t="s">
        <v>1265</v>
      </c>
      <c r="I26" s="9" t="s">
        <v>1237</v>
      </c>
      <c r="J26" s="11" t="str">
        <f t="shared" si="0"/>
        <v>"Schiffenensee, Lac de Schiffenen"</v>
      </c>
      <c r="K26" s="11" t="str">
        <f t="shared" si="1"/>
        <v>"Fribourg"</v>
      </c>
      <c r="L26" t="s">
        <v>1169</v>
      </c>
      <c r="M26" s="12">
        <v>45748</v>
      </c>
      <c r="N26" s="12">
        <v>23377</v>
      </c>
      <c r="O26" s="11" t="str">
        <f t="shared" si="2"/>
        <v>"532"</v>
      </c>
      <c r="P26" s="11" t="str">
        <f t="shared" si="3"/>
        <v>"1,745"</v>
      </c>
      <c r="Q26" s="11">
        <v>38</v>
      </c>
      <c r="R26" s="19">
        <v>125</v>
      </c>
      <c r="T26" s="9"/>
      <c r="V26" s="9"/>
      <c r="W26" s="9"/>
      <c r="X26" s="9"/>
      <c r="Z26" s="12"/>
      <c r="AA26" s="12"/>
      <c r="AB26" s="11"/>
      <c r="AC26" s="11"/>
      <c r="AD26" s="11"/>
      <c r="AE26" s="19"/>
      <c r="AF26" s="11"/>
      <c r="AG26" s="11"/>
    </row>
    <row r="27" spans="1:33" ht="30" x14ac:dyDescent="0.25">
      <c r="A27" s="11">
        <v>900</v>
      </c>
      <c r="B27" s="11">
        <v>3</v>
      </c>
      <c r="C27" s="9" t="s">
        <v>1267</v>
      </c>
      <c r="D27" t="s">
        <v>1238</v>
      </c>
      <c r="G27" s="9">
        <v>26</v>
      </c>
      <c r="H27" t="s">
        <v>1267</v>
      </c>
      <c r="I27" s="9" t="s">
        <v>1237</v>
      </c>
      <c r="J27" s="11" t="str">
        <f t="shared" si="0"/>
        <v>"Wägitalersee"</v>
      </c>
      <c r="K27" s="11" t="str">
        <f t="shared" si="1"/>
        <v>"Schwyz"</v>
      </c>
      <c r="L27" t="s">
        <v>1169</v>
      </c>
      <c r="M27" s="12">
        <v>43191</v>
      </c>
      <c r="N27" s="12">
        <v>22282</v>
      </c>
      <c r="O27" s="11" t="str">
        <f t="shared" si="2"/>
        <v>"900"</v>
      </c>
      <c r="P27" s="11" t="str">
        <f t="shared" si="3"/>
        <v>"3"</v>
      </c>
      <c r="Q27" s="11">
        <v>65</v>
      </c>
      <c r="R27" s="19">
        <v>213</v>
      </c>
      <c r="T27" s="9"/>
      <c r="V27" s="9"/>
      <c r="W27" s="9"/>
      <c r="Z27" s="12"/>
      <c r="AA27" s="12"/>
      <c r="AB27" s="11"/>
      <c r="AC27" s="11"/>
      <c r="AD27" s="11"/>
      <c r="AE27" s="19"/>
      <c r="AF27" s="11"/>
      <c r="AG27" s="11"/>
    </row>
    <row r="28" spans="1:33" ht="30" x14ac:dyDescent="0.25">
      <c r="A28" s="11">
        <v>1.931</v>
      </c>
      <c r="B28" s="11">
        <v>6.335</v>
      </c>
      <c r="C28" s="9" t="s">
        <v>1268</v>
      </c>
      <c r="D28" s="9" t="s">
        <v>1263</v>
      </c>
      <c r="E28" s="9"/>
      <c r="G28" s="9">
        <v>27</v>
      </c>
      <c r="H28" t="s">
        <v>1268</v>
      </c>
      <c r="I28" s="9" t="s">
        <v>1237</v>
      </c>
      <c r="J28" s="11" t="str">
        <f t="shared" si="0"/>
        <v>"Lago di Lei"</v>
      </c>
      <c r="K28" s="11" t="str">
        <f t="shared" si="1"/>
        <v>"Grisons, Italy"</v>
      </c>
      <c r="L28" t="s">
        <v>1169</v>
      </c>
      <c r="M28" s="13">
        <v>43438</v>
      </c>
      <c r="N28" s="12">
        <v>21551</v>
      </c>
      <c r="O28" s="11" t="str">
        <f t="shared" si="2"/>
        <v>"1,931"</v>
      </c>
      <c r="P28" s="11" t="str">
        <f t="shared" si="3"/>
        <v>"6,335"</v>
      </c>
      <c r="Q28" s="11">
        <v>133</v>
      </c>
      <c r="R28" s="19">
        <v>436</v>
      </c>
      <c r="T28" s="9"/>
      <c r="V28" s="9"/>
      <c r="W28" s="9"/>
      <c r="Z28" s="12"/>
      <c r="AA28" s="12"/>
      <c r="AB28" s="11"/>
      <c r="AC28" s="11"/>
      <c r="AD28" s="11"/>
      <c r="AE28" s="19"/>
      <c r="AF28" s="11"/>
      <c r="AG28" s="11"/>
    </row>
    <row r="29" spans="1:33" ht="30" x14ac:dyDescent="0.25">
      <c r="A29" s="11">
        <v>1.7969999999999999</v>
      </c>
      <c r="B29" s="11">
        <v>5.8959999999999999</v>
      </c>
      <c r="C29" s="9" t="s">
        <v>1270</v>
      </c>
      <c r="D29" t="s">
        <v>1271</v>
      </c>
      <c r="G29" s="9">
        <v>28</v>
      </c>
      <c r="H29" t="s">
        <v>1269</v>
      </c>
      <c r="I29" s="9" t="s">
        <v>1159</v>
      </c>
      <c r="J29" s="11" t="str">
        <f t="shared" si="0"/>
        <v>"Silsersee, Lej da Segl"</v>
      </c>
      <c r="K29" s="11" t="str">
        <f t="shared" si="1"/>
        <v>"Grisons"</v>
      </c>
      <c r="L29" t="s">
        <v>1264</v>
      </c>
      <c r="M29" s="13">
        <v>43377</v>
      </c>
      <c r="N29" s="12">
        <v>21186</v>
      </c>
      <c r="O29" s="11" t="str">
        <f t="shared" si="2"/>
        <v>"1,797"</v>
      </c>
      <c r="P29" s="11" t="str">
        <f t="shared" si="3"/>
        <v>"5,896"</v>
      </c>
      <c r="Q29" s="11">
        <v>71</v>
      </c>
      <c r="R29" s="19">
        <v>233</v>
      </c>
      <c r="T29" s="9"/>
      <c r="V29" s="9"/>
      <c r="W29" s="9"/>
      <c r="X29" s="9"/>
      <c r="Z29" s="13"/>
      <c r="AA29" s="12"/>
      <c r="AB29" s="11"/>
      <c r="AC29" s="11"/>
      <c r="AD29" s="11"/>
      <c r="AE29" s="19"/>
      <c r="AF29" s="11"/>
      <c r="AG29" s="11"/>
    </row>
    <row r="30" spans="1:33" ht="30" x14ac:dyDescent="0.25">
      <c r="A30" s="11">
        <v>2.3650000000000002</v>
      </c>
      <c r="B30" s="11">
        <v>7.7590000000000003</v>
      </c>
      <c r="C30" s="9" t="s">
        <v>1272</v>
      </c>
      <c r="D30" t="s">
        <v>1273</v>
      </c>
      <c r="G30" s="9">
        <v>29</v>
      </c>
      <c r="H30" t="s">
        <v>1272</v>
      </c>
      <c r="I30" s="9" t="s">
        <v>1237</v>
      </c>
      <c r="J30" s="11" t="str">
        <f t="shared" si="0"/>
        <v>"Lac des Dix"</v>
      </c>
      <c r="K30" s="11" t="str">
        <f t="shared" si="1"/>
        <v>"Valais"</v>
      </c>
      <c r="L30" t="s">
        <v>1162</v>
      </c>
      <c r="M30" s="12">
        <v>23802</v>
      </c>
      <c r="N30" s="12">
        <v>14977</v>
      </c>
      <c r="O30" s="11" t="str">
        <f t="shared" si="2"/>
        <v>"2,365"</v>
      </c>
      <c r="P30" s="11" t="str">
        <f t="shared" si="3"/>
        <v>"7,759"</v>
      </c>
      <c r="Q30" s="11">
        <v>227</v>
      </c>
      <c r="R30" s="19">
        <v>745</v>
      </c>
      <c r="T30" s="9"/>
      <c r="V30" s="9"/>
      <c r="W30" s="9"/>
      <c r="Z30" s="13"/>
      <c r="AA30" s="12"/>
      <c r="AB30" s="11"/>
      <c r="AC30" s="11"/>
      <c r="AD30" s="11"/>
      <c r="AE30" s="19"/>
      <c r="AF30" s="11"/>
      <c r="AG30" s="11"/>
    </row>
    <row r="31" spans="1:33" ht="30" x14ac:dyDescent="0.25">
      <c r="A31" s="11">
        <v>480</v>
      </c>
      <c r="B31" s="11">
        <v>1.57</v>
      </c>
      <c r="C31" s="9" t="s">
        <v>1275</v>
      </c>
      <c r="D31" t="s">
        <v>1203</v>
      </c>
      <c r="G31" s="9">
        <v>30</v>
      </c>
      <c r="H31" t="s">
        <v>1274</v>
      </c>
      <c r="I31" s="9" t="s">
        <v>1237</v>
      </c>
      <c r="J31" s="11" t="str">
        <f t="shared" si="0"/>
        <v>"Wohlensee"</v>
      </c>
      <c r="K31" s="11" t="str">
        <f t="shared" si="1"/>
        <v>"Berne"</v>
      </c>
      <c r="L31" t="s">
        <v>1169</v>
      </c>
      <c r="M31" s="12">
        <v>23802</v>
      </c>
      <c r="N31" s="12">
        <v>14977</v>
      </c>
      <c r="O31" s="11" t="str">
        <f t="shared" si="2"/>
        <v>"480"</v>
      </c>
      <c r="P31" s="11" t="str">
        <f t="shared" si="3"/>
        <v>"1,57"</v>
      </c>
      <c r="Q31" s="11">
        <v>20</v>
      </c>
      <c r="R31" s="19">
        <v>66</v>
      </c>
      <c r="T31" s="9"/>
      <c r="V31" s="9"/>
      <c r="W31" s="9"/>
      <c r="Z31" s="12"/>
      <c r="AA31" s="12"/>
      <c r="AB31" s="11"/>
      <c r="AC31" s="11"/>
      <c r="AD31" s="11"/>
      <c r="AE31" s="19"/>
      <c r="AF31" s="11"/>
      <c r="AG31" s="11"/>
    </row>
    <row r="32" spans="1:33" ht="30" x14ac:dyDescent="0.25">
      <c r="A32" s="11">
        <v>1.93</v>
      </c>
      <c r="B32" s="11">
        <v>6.33</v>
      </c>
      <c r="C32" s="9" t="s">
        <v>1276</v>
      </c>
      <c r="D32" t="s">
        <v>1273</v>
      </c>
      <c r="G32" s="9">
        <v>31</v>
      </c>
      <c r="H32" t="s">
        <v>1276</v>
      </c>
      <c r="I32" s="9" t="s">
        <v>1237</v>
      </c>
      <c r="J32" s="11" t="str">
        <f t="shared" si="0"/>
        <v>"Lac d'Emosson"</v>
      </c>
      <c r="K32" s="11" t="str">
        <f t="shared" si="1"/>
        <v>"Valais"</v>
      </c>
      <c r="L32" t="s">
        <v>1162</v>
      </c>
      <c r="M32" s="12">
        <v>46447</v>
      </c>
      <c r="N32" s="13">
        <v>43291</v>
      </c>
      <c r="O32" s="11" t="str">
        <f t="shared" si="2"/>
        <v>"1,93"</v>
      </c>
      <c r="P32" s="11" t="str">
        <f t="shared" si="3"/>
        <v>"6,33"</v>
      </c>
      <c r="Q32" s="11">
        <v>161</v>
      </c>
      <c r="R32" s="19">
        <v>528</v>
      </c>
      <c r="T32" s="9"/>
      <c r="V32" s="9"/>
      <c r="W32" s="9"/>
      <c r="Z32" s="12"/>
      <c r="AA32" s="12"/>
      <c r="AB32" s="11"/>
      <c r="AC32" s="11"/>
      <c r="AD32" s="11"/>
      <c r="AE32" s="19"/>
      <c r="AF32" s="11"/>
      <c r="AG32" s="11"/>
    </row>
    <row r="33" spans="1:33" ht="30" x14ac:dyDescent="0.25">
      <c r="A33" s="11">
        <v>847</v>
      </c>
      <c r="B33" s="11">
        <v>2.7789999999999999</v>
      </c>
      <c r="C33" s="9" t="s">
        <v>1277</v>
      </c>
      <c r="D33" t="s">
        <v>1278</v>
      </c>
      <c r="G33" s="9">
        <v>32</v>
      </c>
      <c r="H33" t="s">
        <v>1277</v>
      </c>
      <c r="I33" s="9" t="s">
        <v>1247</v>
      </c>
      <c r="J33" s="11" t="str">
        <f t="shared" si="0"/>
        <v>"Klöntalersee"</v>
      </c>
      <c r="K33" s="11" t="str">
        <f t="shared" si="1"/>
        <v>"Glarus"</v>
      </c>
      <c r="L33" t="s">
        <v>1169</v>
      </c>
      <c r="M33" s="12">
        <v>43160</v>
      </c>
      <c r="N33" s="12">
        <v>44927</v>
      </c>
      <c r="O33" s="11" t="str">
        <f t="shared" si="2"/>
        <v>"847"</v>
      </c>
      <c r="P33" s="11" t="str">
        <f t="shared" si="3"/>
        <v>"2,779"</v>
      </c>
      <c r="Q33" s="11">
        <v>47</v>
      </c>
      <c r="R33" s="19">
        <v>154</v>
      </c>
      <c r="T33" s="9"/>
      <c r="V33" s="9"/>
      <c r="W33" s="9"/>
      <c r="Z33" s="12"/>
      <c r="AA33" s="13"/>
      <c r="AB33" s="11"/>
      <c r="AC33" s="11"/>
      <c r="AD33" s="11"/>
      <c r="AE33" s="19"/>
      <c r="AF33" s="11"/>
      <c r="AG33" s="11"/>
    </row>
    <row r="34" spans="1:33" ht="60" x14ac:dyDescent="0.25">
      <c r="A34" s="11">
        <v>1.79</v>
      </c>
      <c r="B34" s="11">
        <v>5.87</v>
      </c>
      <c r="C34" s="9" t="s">
        <v>1280</v>
      </c>
      <c r="D34" t="s">
        <v>1271</v>
      </c>
      <c r="G34" s="9">
        <v>33</v>
      </c>
      <c r="H34" t="s">
        <v>1279</v>
      </c>
      <c r="I34" s="9" t="s">
        <v>1159</v>
      </c>
      <c r="J34" s="11" t="str">
        <f t="shared" ref="J34:J65" si="4" xml:space="preserve"> """" &amp; C34 &amp; """"</f>
        <v>"Silvaplanersee, Lej da Silvaplauna"</v>
      </c>
      <c r="K34" s="11" t="str">
        <f t="shared" ref="K34:K65" si="5" xml:space="preserve"> """" &amp; D34 &amp; """"</f>
        <v>"Grisons"</v>
      </c>
      <c r="L34" t="s">
        <v>1264</v>
      </c>
      <c r="M34" s="12">
        <v>43160</v>
      </c>
      <c r="N34" s="12">
        <v>44927</v>
      </c>
      <c r="O34" s="11" t="str">
        <f t="shared" ref="O34:O65" si="6" xml:space="preserve"> """" &amp; A34 &amp; """"</f>
        <v>"1,79"</v>
      </c>
      <c r="P34" s="11" t="str">
        <f t="shared" ref="P34:P65" si="7" xml:space="preserve"> """" &amp; B34 &amp; """"</f>
        <v>"5,87"</v>
      </c>
      <c r="Q34" s="11">
        <v>77</v>
      </c>
      <c r="R34" s="19">
        <v>253</v>
      </c>
      <c r="T34" s="9"/>
      <c r="V34" s="9"/>
      <c r="W34" s="9"/>
      <c r="Z34" s="12"/>
      <c r="AA34" s="12"/>
      <c r="AB34" s="11"/>
      <c r="AC34" s="11"/>
      <c r="AD34" s="11"/>
      <c r="AE34" s="19"/>
      <c r="AF34" s="11"/>
      <c r="AG34" s="11"/>
    </row>
    <row r="35" spans="1:33" ht="30" x14ac:dyDescent="0.25">
      <c r="A35" s="11">
        <v>536</v>
      </c>
      <c r="B35" s="11">
        <v>1.7589999999999999</v>
      </c>
      <c r="C35" s="9" t="s">
        <v>1281</v>
      </c>
      <c r="D35" t="s">
        <v>1249</v>
      </c>
      <c r="G35" s="9">
        <v>34</v>
      </c>
      <c r="H35" t="s">
        <v>1281</v>
      </c>
      <c r="I35" s="9" t="s">
        <v>1159</v>
      </c>
      <c r="J35" s="11" t="str">
        <f t="shared" si="4"/>
        <v>"Pfäffikersee"</v>
      </c>
      <c r="K35" s="11" t="str">
        <f t="shared" si="5"/>
        <v>"Zurich"</v>
      </c>
      <c r="L35" t="s">
        <v>1169</v>
      </c>
      <c r="M35" s="13">
        <v>43254</v>
      </c>
      <c r="N35" s="12">
        <v>43101</v>
      </c>
      <c r="O35" s="11" t="str">
        <f t="shared" si="6"/>
        <v>"536"</v>
      </c>
      <c r="P35" s="11" t="str">
        <f t="shared" si="7"/>
        <v>"1,759"</v>
      </c>
      <c r="Q35" s="11">
        <v>35</v>
      </c>
      <c r="R35" s="19">
        <v>115</v>
      </c>
      <c r="T35" s="9"/>
      <c r="V35" s="9"/>
      <c r="W35" s="9"/>
      <c r="Z35" s="12"/>
      <c r="AA35" s="12"/>
      <c r="AB35" s="11"/>
      <c r="AC35" s="11"/>
      <c r="AD35" s="11"/>
      <c r="AE35" s="19"/>
      <c r="AF35" s="11"/>
      <c r="AG35" s="11"/>
    </row>
    <row r="36" spans="1:33" ht="30" x14ac:dyDescent="0.25">
      <c r="A36" s="11">
        <v>447</v>
      </c>
      <c r="B36" s="11">
        <v>1.4670000000000001</v>
      </c>
      <c r="C36" s="9" t="s">
        <v>1283</v>
      </c>
      <c r="D36" t="s">
        <v>1238</v>
      </c>
      <c r="G36" s="9">
        <v>35</v>
      </c>
      <c r="H36" t="s">
        <v>1282</v>
      </c>
      <c r="I36" s="9" t="s">
        <v>1159</v>
      </c>
      <c r="J36" s="11" t="str">
        <f t="shared" si="4"/>
        <v>"Lauerzersee"</v>
      </c>
      <c r="K36" s="11" t="str">
        <f t="shared" si="5"/>
        <v>"Schwyz"</v>
      </c>
      <c r="L36" t="s">
        <v>1169</v>
      </c>
      <c r="M36" s="11" t="s">
        <v>1284</v>
      </c>
      <c r="N36" s="12">
        <v>42370</v>
      </c>
      <c r="O36" s="11" t="str">
        <f t="shared" si="6"/>
        <v>"447"</v>
      </c>
      <c r="P36" s="11" t="str">
        <f t="shared" si="7"/>
        <v>"1,467"</v>
      </c>
      <c r="Q36" s="11">
        <v>14</v>
      </c>
      <c r="R36" s="19">
        <v>46</v>
      </c>
      <c r="T36" s="9"/>
      <c r="V36" s="9"/>
      <c r="W36" s="9"/>
      <c r="Z36" s="13"/>
      <c r="AA36" s="12"/>
      <c r="AB36" s="11"/>
      <c r="AC36" s="11"/>
      <c r="AD36" s="11"/>
      <c r="AE36" s="19"/>
      <c r="AF36" s="11"/>
      <c r="AG36" s="11"/>
    </row>
    <row r="37" spans="1:33" ht="30" x14ac:dyDescent="0.25">
      <c r="A37" s="11">
        <v>1.9079999999999999</v>
      </c>
      <c r="B37" s="11">
        <v>6.26</v>
      </c>
      <c r="C37" s="9" t="s">
        <v>1285</v>
      </c>
      <c r="D37" t="s">
        <v>1203</v>
      </c>
      <c r="G37" s="9">
        <v>36</v>
      </c>
      <c r="H37" t="s">
        <v>1285</v>
      </c>
      <c r="I37" s="9" t="s">
        <v>1247</v>
      </c>
      <c r="J37" s="11" t="str">
        <f t="shared" si="4"/>
        <v>"Grimselsee"</v>
      </c>
      <c r="K37" s="11" t="str">
        <f t="shared" si="5"/>
        <v>"Berne"</v>
      </c>
      <c r="L37" t="s">
        <v>1169</v>
      </c>
      <c r="M37" s="12">
        <v>23043</v>
      </c>
      <c r="N37" s="13">
        <v>43132</v>
      </c>
      <c r="O37" s="11" t="str">
        <f t="shared" si="6"/>
        <v>"1,908"</v>
      </c>
      <c r="P37" s="11" t="str">
        <f t="shared" si="7"/>
        <v>"6,26"</v>
      </c>
      <c r="Q37" s="11">
        <v>100</v>
      </c>
      <c r="R37" s="19">
        <v>330</v>
      </c>
      <c r="T37" s="9"/>
      <c r="V37" s="9"/>
      <c r="W37" s="9"/>
      <c r="Z37" s="11"/>
      <c r="AA37" s="12"/>
      <c r="AB37" s="11"/>
      <c r="AC37" s="11"/>
      <c r="AD37" s="11"/>
      <c r="AE37" s="19"/>
      <c r="AF37" s="11"/>
      <c r="AG37" s="11"/>
    </row>
    <row r="38" spans="1:33" ht="60" x14ac:dyDescent="0.25">
      <c r="A38" s="11">
        <v>688</v>
      </c>
      <c r="B38" s="11">
        <v>2.2570000000000001</v>
      </c>
      <c r="C38" s="9" t="s">
        <v>1287</v>
      </c>
      <c r="D38" t="s">
        <v>1253</v>
      </c>
      <c r="G38" s="9">
        <v>37</v>
      </c>
      <c r="H38" t="s">
        <v>1286</v>
      </c>
      <c r="I38" s="9" t="s">
        <v>1247</v>
      </c>
      <c r="J38" s="11" t="str">
        <f t="shared" si="4"/>
        <v>"Lungerersee, Lungernsee"</v>
      </c>
      <c r="K38" s="11" t="str">
        <f t="shared" si="5"/>
        <v>"Obwalden"</v>
      </c>
      <c r="L38" t="s">
        <v>1169</v>
      </c>
      <c r="M38" s="13">
        <v>43102</v>
      </c>
      <c r="N38" s="11" t="s">
        <v>1288</v>
      </c>
      <c r="O38" s="11" t="str">
        <f t="shared" si="6"/>
        <v>"688"</v>
      </c>
      <c r="P38" s="11" t="str">
        <f t="shared" si="7"/>
        <v>"2,257"</v>
      </c>
      <c r="Q38" s="11">
        <v>68</v>
      </c>
      <c r="R38" s="19">
        <v>223</v>
      </c>
      <c r="T38" s="9"/>
      <c r="V38" s="9"/>
      <c r="W38" s="9"/>
      <c r="Z38" s="12"/>
      <c r="AA38" s="13"/>
      <c r="AB38" s="11"/>
      <c r="AC38" s="11"/>
      <c r="AD38" s="11"/>
      <c r="AE38" s="19"/>
      <c r="AF38" s="11"/>
      <c r="AG38" s="11"/>
    </row>
    <row r="39" spans="1:33" ht="30" x14ac:dyDescent="0.25">
      <c r="A39" s="11">
        <v>1.9610000000000001</v>
      </c>
      <c r="B39" s="11">
        <v>6.4340000000000002</v>
      </c>
      <c r="C39" s="9" t="s">
        <v>1289</v>
      </c>
      <c r="D39" t="s">
        <v>1273</v>
      </c>
      <c r="G39" s="9">
        <v>38</v>
      </c>
      <c r="H39" t="s">
        <v>1289</v>
      </c>
      <c r="I39" s="9" t="s">
        <v>1237</v>
      </c>
      <c r="J39" s="11" t="str">
        <f t="shared" si="4"/>
        <v>"Lac de Mauvoisin"</v>
      </c>
      <c r="K39" s="11" t="str">
        <f t="shared" si="5"/>
        <v>"Valais"</v>
      </c>
      <c r="L39" t="s">
        <v>1162</v>
      </c>
      <c r="M39" s="13">
        <v>43314</v>
      </c>
      <c r="N39" s="11" t="s">
        <v>1290</v>
      </c>
      <c r="O39" s="11" t="str">
        <f t="shared" si="6"/>
        <v>"1,961"</v>
      </c>
      <c r="P39" s="11" t="str">
        <f t="shared" si="7"/>
        <v>"6,434"</v>
      </c>
      <c r="Q39" s="11">
        <v>180</v>
      </c>
      <c r="R39" s="19">
        <v>590</v>
      </c>
      <c r="T39" s="9"/>
      <c r="V39" s="9"/>
      <c r="W39" s="9"/>
      <c r="Z39" s="13"/>
      <c r="AA39" s="11"/>
      <c r="AB39" s="11"/>
      <c r="AC39" s="11"/>
      <c r="AD39" s="11"/>
      <c r="AE39" s="19"/>
      <c r="AF39" s="11"/>
      <c r="AG39" s="11"/>
    </row>
    <row r="40" spans="1:33" ht="30" x14ac:dyDescent="0.25">
      <c r="A40" s="11">
        <v>962</v>
      </c>
      <c r="B40" s="11">
        <v>3.1560000000000001</v>
      </c>
      <c r="C40" s="9" t="s">
        <v>1291</v>
      </c>
      <c r="D40" t="s">
        <v>1271</v>
      </c>
      <c r="G40" s="9">
        <v>39</v>
      </c>
      <c r="H40" t="s">
        <v>1291</v>
      </c>
      <c r="I40" s="9" t="s">
        <v>1247</v>
      </c>
      <c r="J40" s="11" t="str">
        <f t="shared" si="4"/>
        <v>"Lago di Poschiavo"</v>
      </c>
      <c r="K40" s="11" t="str">
        <f t="shared" si="5"/>
        <v>"Grisons"</v>
      </c>
      <c r="L40" t="s">
        <v>1180</v>
      </c>
      <c r="M40" s="12">
        <v>35796</v>
      </c>
      <c r="N40" s="11" t="s">
        <v>1292</v>
      </c>
      <c r="O40" s="11" t="str">
        <f t="shared" si="6"/>
        <v>"962"</v>
      </c>
      <c r="P40" s="11" t="str">
        <f t="shared" si="7"/>
        <v>"3,156"</v>
      </c>
      <c r="Q40" s="11">
        <v>85</v>
      </c>
      <c r="R40" s="19">
        <v>279</v>
      </c>
      <c r="T40" s="9"/>
      <c r="V40" s="9"/>
      <c r="W40" s="9"/>
      <c r="Z40" s="13"/>
      <c r="AA40" s="11"/>
      <c r="AB40" s="11"/>
      <c r="AC40" s="11"/>
      <c r="AD40" s="11"/>
      <c r="AE40" s="19"/>
      <c r="AF40" s="11"/>
      <c r="AG40" s="11"/>
    </row>
    <row r="41" spans="1:33" ht="45" x14ac:dyDescent="0.25">
      <c r="A41" s="11">
        <v>1.9079999999999999</v>
      </c>
      <c r="B41" s="11">
        <v>6.26</v>
      </c>
      <c r="C41" s="9" t="s">
        <v>1293</v>
      </c>
      <c r="D41" s="9" t="s">
        <v>1294</v>
      </c>
      <c r="E41" s="9"/>
      <c r="G41" s="9">
        <v>40</v>
      </c>
      <c r="H41" t="s">
        <v>1293</v>
      </c>
      <c r="I41" s="9" t="s">
        <v>1237</v>
      </c>
      <c r="J41" s="11" t="str">
        <f t="shared" si="4"/>
        <v>"Lai da Sontga Maria"</v>
      </c>
      <c r="K41" s="11" t="str">
        <f t="shared" si="5"/>
        <v>"Grisons, Ticino"</v>
      </c>
      <c r="L41" t="s">
        <v>1169</v>
      </c>
      <c r="M41" s="12">
        <v>28126</v>
      </c>
      <c r="N41" s="13">
        <v>43317</v>
      </c>
      <c r="O41" s="11" t="str">
        <f t="shared" si="6"/>
        <v>"1,908"</v>
      </c>
      <c r="P41" s="11" t="str">
        <f t="shared" si="7"/>
        <v>"6,26"</v>
      </c>
      <c r="Q41" s="11">
        <v>86</v>
      </c>
      <c r="R41" s="19">
        <v>282</v>
      </c>
      <c r="T41" s="9"/>
      <c r="V41" s="9"/>
      <c r="W41" s="9"/>
      <c r="Z41" s="12"/>
      <c r="AA41" s="11"/>
      <c r="AB41" s="11"/>
      <c r="AC41" s="11"/>
      <c r="AD41" s="11"/>
      <c r="AE41" s="19"/>
      <c r="AF41" s="11"/>
      <c r="AG41" s="11"/>
    </row>
    <row r="42" spans="1:33" ht="30" x14ac:dyDescent="0.25">
      <c r="A42" s="11">
        <v>2.1970000000000001</v>
      </c>
      <c r="B42" s="11">
        <v>7.2080000000000002</v>
      </c>
      <c r="C42" s="9" t="s">
        <v>1295</v>
      </c>
      <c r="D42" t="s">
        <v>1273</v>
      </c>
      <c r="G42" s="9">
        <v>41</v>
      </c>
      <c r="H42" t="s">
        <v>1295</v>
      </c>
      <c r="I42" s="9" t="s">
        <v>1237</v>
      </c>
      <c r="J42" s="11" t="str">
        <f t="shared" si="4"/>
        <v>"Mattmarksee"</v>
      </c>
      <c r="K42" s="11" t="str">
        <f t="shared" si="5"/>
        <v>"Valais"</v>
      </c>
      <c r="L42" t="s">
        <v>1162</v>
      </c>
      <c r="M42" s="12">
        <v>27760</v>
      </c>
      <c r="N42" s="11" t="s">
        <v>1296</v>
      </c>
      <c r="O42" s="11" t="str">
        <f t="shared" si="6"/>
        <v>"2,197"</v>
      </c>
      <c r="P42" s="11" t="str">
        <f t="shared" si="7"/>
        <v>"7,208"</v>
      </c>
      <c r="Q42" s="11">
        <v>93</v>
      </c>
      <c r="R42" s="19">
        <v>305</v>
      </c>
      <c r="T42" s="9"/>
      <c r="V42" s="9"/>
      <c r="W42" s="9"/>
      <c r="X42" s="9"/>
      <c r="Z42" s="12"/>
      <c r="AA42" s="13"/>
      <c r="AB42" s="11"/>
      <c r="AC42" s="11"/>
      <c r="AD42" s="11"/>
      <c r="AE42" s="19"/>
      <c r="AF42" s="11"/>
      <c r="AG42" s="11"/>
    </row>
    <row r="43" spans="1:33" ht="30" x14ac:dyDescent="0.25">
      <c r="A43" s="11">
        <v>470</v>
      </c>
      <c r="B43" s="11">
        <v>1.54</v>
      </c>
      <c r="C43" s="9" t="s">
        <v>1297</v>
      </c>
      <c r="D43" t="s">
        <v>1298</v>
      </c>
      <c r="G43" s="9">
        <v>42</v>
      </c>
      <c r="H43" t="s">
        <v>1297</v>
      </c>
      <c r="I43" s="9" t="s">
        <v>1237</v>
      </c>
      <c r="J43" s="11" t="str">
        <f t="shared" si="4"/>
        <v>"Lago di Vogorno"</v>
      </c>
      <c r="K43" s="11" t="str">
        <f t="shared" si="5"/>
        <v>"Ticino"</v>
      </c>
      <c r="L43" t="s">
        <v>1180</v>
      </c>
      <c r="M43" s="12">
        <v>24838</v>
      </c>
      <c r="N43" s="11" t="s">
        <v>1299</v>
      </c>
      <c r="O43" s="11" t="str">
        <f t="shared" si="6"/>
        <v>"470"</v>
      </c>
      <c r="P43" s="11" t="str">
        <f t="shared" si="7"/>
        <v>"1,54"</v>
      </c>
      <c r="Q43" s="11">
        <v>204</v>
      </c>
      <c r="R43" s="19">
        <v>669</v>
      </c>
      <c r="T43" s="9"/>
      <c r="V43" s="9"/>
      <c r="W43" s="9"/>
      <c r="Z43" s="12"/>
      <c r="AA43" s="11"/>
      <c r="AB43" s="11"/>
      <c r="AC43" s="11"/>
      <c r="AD43" s="11"/>
      <c r="AE43" s="19"/>
      <c r="AF43" s="11"/>
      <c r="AG43" s="11"/>
    </row>
    <row r="44" spans="1:33" ht="30" x14ac:dyDescent="0.25">
      <c r="A44" s="11">
        <v>1.925</v>
      </c>
      <c r="B44" s="11">
        <v>6.3159999999999998</v>
      </c>
      <c r="C44" s="9" t="s">
        <v>1300</v>
      </c>
      <c r="D44" t="s">
        <v>1273</v>
      </c>
      <c r="G44" s="9">
        <v>43</v>
      </c>
      <c r="H44" t="s">
        <v>1300</v>
      </c>
      <c r="I44" s="9" t="s">
        <v>1237</v>
      </c>
      <c r="J44" s="11" t="str">
        <f t="shared" si="4"/>
        <v>"Lac de Salanfe"</v>
      </c>
      <c r="K44" s="11" t="str">
        <f t="shared" si="5"/>
        <v>"Valais"</v>
      </c>
      <c r="L44" t="s">
        <v>1162</v>
      </c>
      <c r="M44" s="12">
        <v>22647</v>
      </c>
      <c r="N44" s="11" t="s">
        <v>1301</v>
      </c>
      <c r="O44" s="11" t="str">
        <f t="shared" si="6"/>
        <v>"1,925"</v>
      </c>
      <c r="P44" s="11" t="str">
        <f t="shared" si="7"/>
        <v>"6,316"</v>
      </c>
      <c r="Q44" s="11">
        <v>48</v>
      </c>
      <c r="R44" s="19">
        <v>157</v>
      </c>
      <c r="T44" s="9"/>
      <c r="V44" s="9"/>
      <c r="W44" s="9"/>
      <c r="Z44" s="12"/>
      <c r="AA44" s="11"/>
      <c r="AB44" s="11"/>
      <c r="AC44" s="11"/>
      <c r="AD44" s="11"/>
      <c r="AE44" s="19"/>
      <c r="AF44" s="11"/>
      <c r="AG44" s="11"/>
    </row>
    <row r="45" spans="1:33" ht="30" x14ac:dyDescent="0.25">
      <c r="A45" s="11">
        <v>1.8620000000000001</v>
      </c>
      <c r="B45" s="11">
        <v>6.109</v>
      </c>
      <c r="C45" s="9" t="s">
        <v>1302</v>
      </c>
      <c r="D45" t="s">
        <v>1271</v>
      </c>
      <c r="G45" s="9">
        <v>44</v>
      </c>
      <c r="H45" t="s">
        <v>1302</v>
      </c>
      <c r="I45" s="9" t="s">
        <v>1237</v>
      </c>
      <c r="J45" s="11" t="str">
        <f t="shared" si="4"/>
        <v>"Zervreilasee"</v>
      </c>
      <c r="K45" s="11" t="str">
        <f t="shared" si="5"/>
        <v>"Grisons"</v>
      </c>
      <c r="L45" t="s">
        <v>1169</v>
      </c>
      <c r="M45" s="12">
        <v>22282</v>
      </c>
      <c r="N45" s="11" t="s">
        <v>1303</v>
      </c>
      <c r="O45" s="11" t="str">
        <f t="shared" si="6"/>
        <v>"1,862"</v>
      </c>
      <c r="P45" s="11" t="str">
        <f t="shared" si="7"/>
        <v>"6,109"</v>
      </c>
      <c r="Q45" s="11">
        <v>140</v>
      </c>
      <c r="R45" s="19">
        <v>460</v>
      </c>
      <c r="T45" s="9"/>
      <c r="V45" s="9"/>
      <c r="W45" s="9"/>
      <c r="Z45" s="12"/>
      <c r="AA45" s="11"/>
      <c r="AB45" s="11"/>
      <c r="AC45" s="11"/>
      <c r="AD45" s="11"/>
      <c r="AE45" s="19"/>
      <c r="AF45" s="11"/>
      <c r="AG45" s="11"/>
    </row>
    <row r="46" spans="1:33" ht="30" x14ac:dyDescent="0.25">
      <c r="A46" s="11">
        <v>1.2549999999999999</v>
      </c>
      <c r="B46" s="11">
        <v>4.117</v>
      </c>
      <c r="C46" s="9" t="s">
        <v>1304</v>
      </c>
      <c r="D46" t="s">
        <v>1248</v>
      </c>
      <c r="G46" s="9">
        <v>45</v>
      </c>
      <c r="H46" t="s">
        <v>1304</v>
      </c>
      <c r="I46" s="9" t="s">
        <v>1237</v>
      </c>
      <c r="J46" s="11" t="str">
        <f t="shared" si="4"/>
        <v>"Lac de l'Hongrin"</v>
      </c>
      <c r="K46" s="11" t="str">
        <f t="shared" si="5"/>
        <v>"Vaud"</v>
      </c>
      <c r="L46" t="s">
        <v>1169</v>
      </c>
      <c r="M46" s="12">
        <v>21916</v>
      </c>
      <c r="N46" s="11" t="s">
        <v>1303</v>
      </c>
      <c r="O46" s="11" t="str">
        <f t="shared" si="6"/>
        <v>"1,255"</v>
      </c>
      <c r="P46" s="11" t="str">
        <f t="shared" si="7"/>
        <v>"4,117"</v>
      </c>
      <c r="Q46" s="11">
        <v>105</v>
      </c>
      <c r="R46" s="19">
        <v>344</v>
      </c>
      <c r="T46" s="9"/>
      <c r="V46" s="9"/>
      <c r="W46" s="9"/>
      <c r="Z46" s="12"/>
      <c r="AA46" s="11"/>
      <c r="AB46" s="11"/>
      <c r="AC46" s="11"/>
      <c r="AD46" s="11"/>
      <c r="AE46" s="19"/>
      <c r="AF46" s="11"/>
      <c r="AG46" s="11"/>
    </row>
    <row r="47" spans="1:33" ht="30" x14ac:dyDescent="0.25">
      <c r="A47" s="11">
        <v>2.234</v>
      </c>
      <c r="B47" s="11">
        <v>7.3289999999999997</v>
      </c>
      <c r="C47" s="9" t="s">
        <v>1305</v>
      </c>
      <c r="D47" t="s">
        <v>1271</v>
      </c>
      <c r="G47" s="9">
        <v>46</v>
      </c>
      <c r="H47" t="s">
        <v>1305</v>
      </c>
      <c r="I47" s="9" t="s">
        <v>1247</v>
      </c>
      <c r="J47" s="11" t="str">
        <f t="shared" si="4"/>
        <v>"Lago Bianco"</v>
      </c>
      <c r="K47" s="11" t="str">
        <f t="shared" si="5"/>
        <v>"Grisons"</v>
      </c>
      <c r="L47" t="s">
        <v>1180</v>
      </c>
      <c r="M47" s="12">
        <v>18264</v>
      </c>
      <c r="N47" s="11" t="s">
        <v>1306</v>
      </c>
      <c r="O47" s="11" t="str">
        <f t="shared" si="6"/>
        <v>"2,234"</v>
      </c>
      <c r="P47" s="11" t="str">
        <f t="shared" si="7"/>
        <v>"7,329"</v>
      </c>
      <c r="Q47" s="11">
        <v>53</v>
      </c>
      <c r="R47" s="19">
        <v>174</v>
      </c>
      <c r="T47" s="9"/>
      <c r="V47" s="9"/>
      <c r="W47" s="9"/>
      <c r="Z47" s="12"/>
      <c r="AA47" s="11"/>
      <c r="AB47" s="11"/>
      <c r="AC47" s="11"/>
      <c r="AD47" s="11"/>
      <c r="AE47" s="19"/>
      <c r="AF47" s="11"/>
      <c r="AG47" s="11"/>
    </row>
    <row r="48" spans="1:33" ht="30" x14ac:dyDescent="0.25">
      <c r="A48" s="11">
        <v>1.85</v>
      </c>
      <c r="B48" s="11">
        <v>6.07</v>
      </c>
      <c r="C48" s="9" t="s">
        <v>1307</v>
      </c>
      <c r="D48" t="s">
        <v>1298</v>
      </c>
      <c r="G48" s="9">
        <v>47</v>
      </c>
      <c r="H48" t="s">
        <v>1307</v>
      </c>
      <c r="I48" s="9" t="s">
        <v>1247</v>
      </c>
      <c r="J48" s="11" t="str">
        <f t="shared" si="4"/>
        <v>"Lago Ritom"</v>
      </c>
      <c r="K48" s="11" t="str">
        <f t="shared" si="5"/>
        <v>"Ticino"</v>
      </c>
      <c r="L48" t="s">
        <v>1180</v>
      </c>
      <c r="M48" s="12">
        <v>17899</v>
      </c>
      <c r="N48" s="11" t="s">
        <v>1306</v>
      </c>
      <c r="O48" s="11" t="str">
        <f t="shared" si="6"/>
        <v>"1,85"</v>
      </c>
      <c r="P48" s="11" t="str">
        <f t="shared" si="7"/>
        <v>"6,07"</v>
      </c>
      <c r="Q48" s="11">
        <v>69</v>
      </c>
      <c r="R48" s="19">
        <v>226</v>
      </c>
      <c r="T48" s="9"/>
      <c r="V48" s="9"/>
      <c r="W48" s="9"/>
      <c r="Z48" s="12"/>
      <c r="AA48" s="11"/>
      <c r="AB48" s="11"/>
      <c r="AC48" s="11"/>
      <c r="AD48" s="11"/>
      <c r="AE48" s="19"/>
      <c r="AF48" s="11"/>
      <c r="AG48" s="11"/>
    </row>
    <row r="49" spans="1:33" ht="30" x14ac:dyDescent="0.25">
      <c r="A49" s="11">
        <v>2.3029999999999999</v>
      </c>
      <c r="B49" s="11">
        <v>7.556</v>
      </c>
      <c r="C49" s="9" t="s">
        <v>1308</v>
      </c>
      <c r="D49" t="s">
        <v>1203</v>
      </c>
      <c r="G49" s="9">
        <v>48</v>
      </c>
      <c r="H49" t="s">
        <v>1308</v>
      </c>
      <c r="I49" s="9" t="s">
        <v>1237</v>
      </c>
      <c r="J49" s="11" t="str">
        <f t="shared" si="4"/>
        <v>"Oberaarsee"</v>
      </c>
      <c r="K49" s="11" t="str">
        <f t="shared" si="5"/>
        <v>"Berne"</v>
      </c>
      <c r="L49" t="s">
        <v>1169</v>
      </c>
      <c r="M49" s="12">
        <v>17168</v>
      </c>
      <c r="N49" s="13">
        <v>43316</v>
      </c>
      <c r="O49" s="11" t="str">
        <f t="shared" si="6"/>
        <v>"2,303"</v>
      </c>
      <c r="P49" s="11" t="str">
        <f t="shared" si="7"/>
        <v>"7,556"</v>
      </c>
      <c r="Q49" s="11">
        <v>90</v>
      </c>
      <c r="R49" s="19">
        <v>300</v>
      </c>
      <c r="T49" s="9"/>
      <c r="V49" s="9"/>
      <c r="W49" s="9"/>
      <c r="Z49" s="12"/>
      <c r="AA49" s="11"/>
      <c r="AB49" s="11"/>
      <c r="AC49" s="11"/>
      <c r="AD49" s="11"/>
      <c r="AE49" s="19"/>
      <c r="AF49" s="11"/>
      <c r="AG49" s="11"/>
    </row>
    <row r="50" spans="1:33" ht="45" x14ac:dyDescent="0.25">
      <c r="A50" s="11">
        <v>1.68</v>
      </c>
      <c r="B50" s="11">
        <v>5.51</v>
      </c>
      <c r="C50" s="9" t="s">
        <v>1309</v>
      </c>
      <c r="D50" t="s">
        <v>1271</v>
      </c>
      <c r="G50" s="9">
        <v>49</v>
      </c>
      <c r="H50" t="s">
        <v>1309</v>
      </c>
      <c r="I50" s="9" t="s">
        <v>1237</v>
      </c>
      <c r="J50" s="11" t="str">
        <f t="shared" si="4"/>
        <v>"Lai da Marmorera"</v>
      </c>
      <c r="K50" s="11" t="str">
        <f t="shared" si="5"/>
        <v>"Grisons"</v>
      </c>
      <c r="L50" t="s">
        <v>1169</v>
      </c>
      <c r="M50" s="12">
        <v>14977</v>
      </c>
      <c r="N50" s="11" t="s">
        <v>1310</v>
      </c>
      <c r="O50" s="11" t="str">
        <f t="shared" si="6"/>
        <v>"1,68"</v>
      </c>
      <c r="P50" s="11" t="str">
        <f t="shared" si="7"/>
        <v>"5,51"</v>
      </c>
      <c r="Q50" s="11">
        <v>65</v>
      </c>
      <c r="R50" s="19">
        <v>213</v>
      </c>
      <c r="T50" s="9"/>
      <c r="V50" s="9"/>
      <c r="W50" s="9"/>
      <c r="Z50" s="12"/>
      <c r="AA50" s="13"/>
      <c r="AB50" s="11"/>
      <c r="AC50" s="11"/>
      <c r="AD50" s="11"/>
      <c r="AE50" s="19"/>
      <c r="AF50" s="11"/>
      <c r="AG50" s="11"/>
    </row>
    <row r="51" spans="1:33" ht="30" x14ac:dyDescent="0.25">
      <c r="A51" s="11">
        <v>2.2490000000000001</v>
      </c>
      <c r="B51" s="11">
        <v>7.3789999999999996</v>
      </c>
      <c r="C51" s="9" t="s">
        <v>1311</v>
      </c>
      <c r="D51" t="s">
        <v>1273</v>
      </c>
      <c r="G51" s="9">
        <v>50</v>
      </c>
      <c r="H51" t="s">
        <v>1311</v>
      </c>
      <c r="I51" s="9" t="s">
        <v>1237</v>
      </c>
      <c r="J51" s="11" t="str">
        <f t="shared" si="4"/>
        <v>"Lac de Moiry"</v>
      </c>
      <c r="K51" s="11" t="str">
        <f t="shared" si="5"/>
        <v>"Valais"</v>
      </c>
      <c r="L51" t="s">
        <v>1162</v>
      </c>
      <c r="M51" s="12">
        <v>14611</v>
      </c>
      <c r="N51" s="11" t="s">
        <v>1310</v>
      </c>
      <c r="O51" s="11" t="str">
        <f t="shared" si="6"/>
        <v>"2,249"</v>
      </c>
      <c r="P51" s="11" t="str">
        <f t="shared" si="7"/>
        <v>"7,379"</v>
      </c>
      <c r="Q51" s="11">
        <v>120</v>
      </c>
      <c r="R51" s="19">
        <v>390</v>
      </c>
      <c r="T51" s="9"/>
      <c r="V51" s="9"/>
      <c r="W51" s="9"/>
      <c r="Z51" s="12"/>
      <c r="AA51" s="11"/>
      <c r="AB51" s="11"/>
      <c r="AC51" s="11"/>
      <c r="AD51" s="11"/>
      <c r="AE51" s="19"/>
      <c r="AF51" s="11"/>
      <c r="AG51" s="11"/>
    </row>
    <row r="52" spans="1:33" ht="30" x14ac:dyDescent="0.25">
      <c r="A52" s="11">
        <v>1.857</v>
      </c>
      <c r="B52" s="11">
        <v>6.093</v>
      </c>
      <c r="C52" s="9" t="s">
        <v>1312</v>
      </c>
      <c r="D52" t="s">
        <v>1278</v>
      </c>
      <c r="G52" s="9">
        <v>51</v>
      </c>
      <c r="H52" t="s">
        <v>1312</v>
      </c>
      <c r="I52" s="9" t="s">
        <v>1237</v>
      </c>
      <c r="J52" s="11" t="str">
        <f t="shared" si="4"/>
        <v>"Limmernsee"</v>
      </c>
      <c r="K52" s="11" t="str">
        <f t="shared" si="5"/>
        <v>"Glarus"</v>
      </c>
      <c r="L52" t="s">
        <v>1169</v>
      </c>
      <c r="M52" s="12">
        <v>13150</v>
      </c>
      <c r="N52" s="11" t="s">
        <v>1313</v>
      </c>
      <c r="O52" s="11" t="str">
        <f t="shared" si="6"/>
        <v>"1,857"</v>
      </c>
      <c r="P52" s="11" t="str">
        <f t="shared" si="7"/>
        <v>"6,093"</v>
      </c>
      <c r="Q52" s="11">
        <v>122</v>
      </c>
      <c r="R52" s="19">
        <v>400</v>
      </c>
      <c r="T52" s="9"/>
      <c r="V52" s="9"/>
      <c r="W52" s="9"/>
      <c r="Z52" s="12"/>
      <c r="AA52" s="11"/>
      <c r="AB52" s="11"/>
      <c r="AC52" s="11"/>
      <c r="AD52" s="11"/>
      <c r="AE52" s="19"/>
      <c r="AF52" s="11"/>
      <c r="AG52" s="11"/>
    </row>
    <row r="53" spans="1:33" ht="30" x14ac:dyDescent="0.25">
      <c r="A53" s="11">
        <v>1.792</v>
      </c>
      <c r="B53" s="11">
        <v>5.8789999999999996</v>
      </c>
      <c r="C53" s="9" t="s">
        <v>1314</v>
      </c>
      <c r="D53" t="s">
        <v>1315</v>
      </c>
      <c r="G53" s="9">
        <v>52</v>
      </c>
      <c r="H53" t="s">
        <v>1314</v>
      </c>
      <c r="I53" s="9" t="s">
        <v>1237</v>
      </c>
      <c r="J53" s="11" t="str">
        <f t="shared" si="4"/>
        <v>"Göscheneralpsee"</v>
      </c>
      <c r="K53" s="11" t="str">
        <f t="shared" si="5"/>
        <v>"Uri"</v>
      </c>
      <c r="L53" t="s">
        <v>1169</v>
      </c>
      <c r="M53" s="12">
        <v>11689</v>
      </c>
      <c r="N53" s="11" t="s">
        <v>1316</v>
      </c>
      <c r="O53" s="11" t="str">
        <f t="shared" si="6"/>
        <v>"1,792"</v>
      </c>
      <c r="P53" s="11" t="str">
        <f t="shared" si="7"/>
        <v>"5,879"</v>
      </c>
      <c r="Q53" s="11">
        <v>106</v>
      </c>
      <c r="R53" s="19">
        <v>348</v>
      </c>
      <c r="T53" s="9"/>
      <c r="V53" s="9"/>
      <c r="W53" s="9"/>
      <c r="Z53" s="12"/>
      <c r="AA53" s="11"/>
      <c r="AB53" s="11"/>
      <c r="AC53" s="11"/>
      <c r="AD53" s="11"/>
      <c r="AE53" s="19"/>
      <c r="AF53" s="11"/>
      <c r="AG53" s="11"/>
    </row>
    <row r="54" spans="1:33" ht="30" x14ac:dyDescent="0.25">
      <c r="A54" s="11">
        <v>1.6060000000000001</v>
      </c>
      <c r="B54" s="11">
        <v>5.2690000000000001</v>
      </c>
      <c r="C54" s="9" t="s">
        <v>1317</v>
      </c>
      <c r="D54" t="s">
        <v>1298</v>
      </c>
      <c r="G54" s="9">
        <v>53</v>
      </c>
      <c r="H54" t="s">
        <v>1317</v>
      </c>
      <c r="I54" s="9" t="s">
        <v>1237</v>
      </c>
      <c r="J54" s="11" t="str">
        <f t="shared" si="4"/>
        <v>"Lago di Luzzone"</v>
      </c>
      <c r="K54" s="11" t="str">
        <f t="shared" si="5"/>
        <v>"Ticino"</v>
      </c>
      <c r="L54" t="s">
        <v>1180</v>
      </c>
      <c r="M54" s="12">
        <v>46388</v>
      </c>
      <c r="N54" s="13">
        <v>43135</v>
      </c>
      <c r="O54" s="11" t="str">
        <f t="shared" si="6"/>
        <v>"1,606"</v>
      </c>
      <c r="P54" s="11" t="str">
        <f t="shared" si="7"/>
        <v>"5,269"</v>
      </c>
      <c r="Q54" s="11">
        <v>181</v>
      </c>
      <c r="R54" s="19">
        <v>594</v>
      </c>
      <c r="T54" s="9"/>
      <c r="V54" s="9"/>
      <c r="W54" s="9"/>
      <c r="Z54" s="12"/>
      <c r="AA54" s="11"/>
      <c r="AB54" s="11"/>
      <c r="AC54" s="11"/>
      <c r="AD54" s="11"/>
      <c r="AE54" s="19"/>
      <c r="AF54" s="11"/>
      <c r="AG54" s="11"/>
    </row>
    <row r="55" spans="1:33" ht="30" x14ac:dyDescent="0.25">
      <c r="A55" s="47">
        <v>2.1629999999999998</v>
      </c>
      <c r="B55" s="11">
        <v>7.0960000000000001</v>
      </c>
      <c r="C55" s="9" t="s">
        <v>1319</v>
      </c>
      <c r="D55" s="50" t="s">
        <v>1271</v>
      </c>
      <c r="G55" s="49">
        <v>54</v>
      </c>
      <c r="H55" s="50" t="s">
        <v>1318</v>
      </c>
      <c r="I55" s="49" t="s">
        <v>1237</v>
      </c>
      <c r="J55" s="11" t="str">
        <f t="shared" si="4"/>
        <v>"Lago da l'Albigna"</v>
      </c>
      <c r="K55" s="11" t="str">
        <f t="shared" si="5"/>
        <v>"Grisons"</v>
      </c>
      <c r="L55" s="50" t="s">
        <v>1180</v>
      </c>
      <c r="M55" s="46">
        <v>46023</v>
      </c>
      <c r="N55" s="47" t="s">
        <v>1321</v>
      </c>
      <c r="O55" s="11" t="str">
        <f t="shared" si="6"/>
        <v>"2,163"</v>
      </c>
      <c r="P55" s="11" t="str">
        <f t="shared" si="7"/>
        <v>"7,096"</v>
      </c>
      <c r="Q55" s="47">
        <v>108</v>
      </c>
      <c r="R55" s="48">
        <v>354</v>
      </c>
      <c r="T55" s="9"/>
      <c r="V55" s="9"/>
      <c r="W55" s="9"/>
      <c r="Z55" s="12"/>
      <c r="AA55" s="13"/>
      <c r="AB55" s="11"/>
      <c r="AC55" s="11"/>
      <c r="AD55" s="11"/>
      <c r="AE55" s="19"/>
      <c r="AF55" s="11"/>
      <c r="AG55" s="11"/>
    </row>
    <row r="56" spans="1:33" ht="30" x14ac:dyDescent="0.25">
      <c r="A56" s="47"/>
      <c r="B56" s="11"/>
      <c r="C56" s="9" t="s">
        <v>1320</v>
      </c>
      <c r="D56" s="50"/>
      <c r="G56" s="49"/>
      <c r="H56" s="50"/>
      <c r="I56" s="49"/>
      <c r="J56" s="11" t="str">
        <f t="shared" si="4"/>
        <v>"Lägh da l'Albigna"</v>
      </c>
      <c r="K56" s="11" t="str">
        <f t="shared" si="5"/>
        <v>""</v>
      </c>
      <c r="L56" s="50"/>
      <c r="M56" s="46"/>
      <c r="N56" s="47"/>
      <c r="O56" s="11" t="str">
        <f t="shared" si="6"/>
        <v>""</v>
      </c>
      <c r="P56" s="11" t="str">
        <f t="shared" si="7"/>
        <v>""</v>
      </c>
      <c r="Q56" s="47"/>
      <c r="R56" s="48"/>
      <c r="T56" s="49"/>
      <c r="U56" s="50"/>
      <c r="V56" s="49"/>
      <c r="W56" s="9"/>
      <c r="X56" s="50"/>
      <c r="Y56" s="50"/>
      <c r="Z56" s="46"/>
      <c r="AA56" s="47"/>
      <c r="AB56" s="11"/>
      <c r="AC56" s="11"/>
      <c r="AD56" s="47"/>
      <c r="AE56" s="48"/>
      <c r="AF56" s="11"/>
      <c r="AG56" s="11"/>
    </row>
    <row r="57" spans="1:33" ht="30" x14ac:dyDescent="0.25">
      <c r="A57" s="11">
        <v>1.5780000000000001</v>
      </c>
      <c r="B57" s="11">
        <v>5.1769999999999996</v>
      </c>
      <c r="C57" s="9" t="s">
        <v>1323</v>
      </c>
      <c r="D57" t="s">
        <v>1203</v>
      </c>
      <c r="G57" s="9">
        <v>55</v>
      </c>
      <c r="H57" t="s">
        <v>1322</v>
      </c>
      <c r="I57" s="9" t="s">
        <v>1159</v>
      </c>
      <c r="J57" s="11" t="str">
        <f t="shared" si="4"/>
        <v>"Oeschinensee"</v>
      </c>
      <c r="K57" s="11" t="str">
        <f t="shared" si="5"/>
        <v>"Berne"</v>
      </c>
      <c r="L57" t="s">
        <v>1169</v>
      </c>
      <c r="M57" s="12">
        <v>42005</v>
      </c>
      <c r="N57" s="11" t="s">
        <v>1324</v>
      </c>
      <c r="O57" s="11" t="str">
        <f t="shared" si="6"/>
        <v>"1,578"</v>
      </c>
      <c r="P57" s="11" t="str">
        <f t="shared" si="7"/>
        <v>"5,177"</v>
      </c>
      <c r="Q57" s="11">
        <v>56</v>
      </c>
      <c r="R57" s="19">
        <v>184</v>
      </c>
      <c r="T57" s="49"/>
      <c r="U57" s="50"/>
      <c r="V57" s="49"/>
      <c r="W57" s="9"/>
      <c r="X57" s="50"/>
      <c r="Y57" s="50"/>
      <c r="Z57" s="46"/>
      <c r="AA57" s="47"/>
      <c r="AB57" s="11"/>
      <c r="AC57" s="11"/>
      <c r="AD57" s="47"/>
      <c r="AE57" s="48"/>
      <c r="AF57" s="47"/>
      <c r="AG57" s="47"/>
    </row>
    <row r="58" spans="1:33" ht="30" x14ac:dyDescent="0.25">
      <c r="A58" s="11">
        <v>318</v>
      </c>
      <c r="B58" s="11">
        <v>1.0429999999999999</v>
      </c>
      <c r="C58" s="9" t="s">
        <v>1325</v>
      </c>
      <c r="D58" t="s">
        <v>1326</v>
      </c>
      <c r="G58" s="9">
        <v>56</v>
      </c>
      <c r="H58" t="s">
        <v>1325</v>
      </c>
      <c r="I58" s="9" t="s">
        <v>1237</v>
      </c>
      <c r="J58" s="11" t="str">
        <f t="shared" si="4"/>
        <v>"Klingnauer Stausee"</v>
      </c>
      <c r="K58" s="11" t="str">
        <f t="shared" si="5"/>
        <v>"Aargau"</v>
      </c>
      <c r="L58" t="s">
        <v>1169</v>
      </c>
      <c r="M58" s="13">
        <v>43405</v>
      </c>
      <c r="N58" s="11" t="s">
        <v>1327</v>
      </c>
      <c r="O58" s="11" t="str">
        <f t="shared" si="6"/>
        <v>"318"</v>
      </c>
      <c r="P58" s="11" t="str">
        <f t="shared" si="7"/>
        <v>"1,043"</v>
      </c>
      <c r="Q58" s="13">
        <v>43228</v>
      </c>
      <c r="R58" s="19">
        <v>28</v>
      </c>
      <c r="T58" s="9"/>
      <c r="V58" s="9"/>
      <c r="W58" s="9"/>
      <c r="Z58" s="12"/>
      <c r="AA58" s="11"/>
      <c r="AB58" s="11"/>
      <c r="AC58" s="11"/>
      <c r="AD58" s="11"/>
      <c r="AE58" s="19"/>
      <c r="AF58" s="47"/>
      <c r="AG58" s="47"/>
    </row>
    <row r="59" spans="1:33" ht="30" x14ac:dyDescent="0.25">
      <c r="A59" s="11">
        <v>1.4610000000000001</v>
      </c>
      <c r="B59" s="11">
        <v>4.7930000000000001</v>
      </c>
      <c r="C59" s="9" t="s">
        <v>1328</v>
      </c>
      <c r="D59" t="s">
        <v>1298</v>
      </c>
      <c r="G59" s="9">
        <v>57</v>
      </c>
      <c r="H59" t="s">
        <v>1328</v>
      </c>
      <c r="I59" s="9" t="s">
        <v>1237</v>
      </c>
      <c r="J59" s="11" t="str">
        <f t="shared" si="4"/>
        <v>"Lago del Sambuco"</v>
      </c>
      <c r="K59" s="11" t="str">
        <f t="shared" si="5"/>
        <v>"Ticino"</v>
      </c>
      <c r="L59" t="s">
        <v>1180</v>
      </c>
      <c r="M59" s="13">
        <v>43405</v>
      </c>
      <c r="N59" s="11" t="s">
        <v>1327</v>
      </c>
      <c r="O59" s="11" t="str">
        <f t="shared" si="6"/>
        <v>"1,461"</v>
      </c>
      <c r="P59" s="11" t="str">
        <f t="shared" si="7"/>
        <v>"4,793"</v>
      </c>
      <c r="Q59" s="11">
        <v>124</v>
      </c>
      <c r="R59" s="19">
        <v>407</v>
      </c>
      <c r="T59" s="9"/>
      <c r="V59" s="9"/>
      <c r="W59" s="9"/>
      <c r="Z59" s="13"/>
      <c r="AA59" s="11"/>
      <c r="AB59" s="11"/>
      <c r="AC59" s="11"/>
      <c r="AD59" s="13"/>
      <c r="AE59" s="19"/>
      <c r="AF59" s="11"/>
      <c r="AG59" s="11"/>
    </row>
    <row r="60" spans="1:33" ht="30" x14ac:dyDescent="0.25">
      <c r="A60" s="11">
        <v>369</v>
      </c>
      <c r="B60" s="11">
        <v>1.2110000000000001</v>
      </c>
      <c r="C60" s="9" t="s">
        <v>1329</v>
      </c>
      <c r="D60" t="s">
        <v>1330</v>
      </c>
      <c r="G60" s="9">
        <v>58</v>
      </c>
      <c r="H60" t="s">
        <v>1329</v>
      </c>
      <c r="I60" s="9" t="s">
        <v>1237</v>
      </c>
      <c r="J60" s="11" t="str">
        <f t="shared" si="4"/>
        <v>"Lac de Verbois"</v>
      </c>
      <c r="K60" s="11" t="str">
        <f t="shared" si="5"/>
        <v>"Geneva"</v>
      </c>
      <c r="L60" t="s">
        <v>1162</v>
      </c>
      <c r="M60" s="13">
        <v>43101</v>
      </c>
      <c r="N60" s="11" t="s">
        <v>1331</v>
      </c>
      <c r="O60" s="11" t="str">
        <f t="shared" si="6"/>
        <v>"369"</v>
      </c>
      <c r="P60" s="11" t="str">
        <f t="shared" si="7"/>
        <v>"1,211"</v>
      </c>
      <c r="Q60" s="9"/>
      <c r="T60" s="9"/>
      <c r="V60" s="9"/>
      <c r="W60" s="9"/>
      <c r="Z60" s="13"/>
      <c r="AA60" s="11"/>
      <c r="AB60" s="11"/>
      <c r="AC60" s="11"/>
      <c r="AD60" s="11"/>
      <c r="AE60" s="19"/>
      <c r="AF60" s="13"/>
      <c r="AG60" s="11"/>
    </row>
    <row r="61" spans="1:33" ht="30" x14ac:dyDescent="0.25">
      <c r="A61" s="11">
        <v>1.9079999999999999</v>
      </c>
      <c r="B61" s="11">
        <v>6.26</v>
      </c>
      <c r="C61" s="9" t="s">
        <v>1332</v>
      </c>
      <c r="D61" t="s">
        <v>1271</v>
      </c>
      <c r="G61" s="9">
        <v>59</v>
      </c>
      <c r="H61" t="s">
        <v>1332</v>
      </c>
      <c r="I61" s="9" t="s">
        <v>1237</v>
      </c>
      <c r="J61" s="11" t="str">
        <f t="shared" si="4"/>
        <v>"Lai da Nalps"</v>
      </c>
      <c r="K61" s="11" t="str">
        <f t="shared" si="5"/>
        <v>"Grisons"</v>
      </c>
      <c r="L61" t="s">
        <v>1169</v>
      </c>
      <c r="M61" s="11" t="s">
        <v>1333</v>
      </c>
      <c r="N61" s="11" t="s">
        <v>1334</v>
      </c>
      <c r="O61" s="11" t="str">
        <f t="shared" si="6"/>
        <v>"1,908"</v>
      </c>
      <c r="P61" s="11" t="str">
        <f t="shared" si="7"/>
        <v>"6,26"</v>
      </c>
      <c r="Q61" s="11">
        <v>122</v>
      </c>
      <c r="R61" s="19">
        <v>400</v>
      </c>
      <c r="T61" s="9"/>
      <c r="V61" s="9"/>
      <c r="W61" s="9"/>
      <c r="Z61" s="13"/>
      <c r="AA61" s="11"/>
      <c r="AB61" s="11"/>
      <c r="AC61" s="11"/>
      <c r="AD61" s="9"/>
      <c r="AE61" s="20"/>
      <c r="AF61" s="11"/>
      <c r="AG61" s="11"/>
    </row>
    <row r="62" spans="1:33" ht="30" x14ac:dyDescent="0.25">
      <c r="A62" s="11">
        <v>1.7769999999999999</v>
      </c>
      <c r="B62" s="11">
        <v>5.83</v>
      </c>
      <c r="C62" s="9" t="s">
        <v>1335</v>
      </c>
      <c r="D62" t="s">
        <v>1273</v>
      </c>
      <c r="G62" s="9">
        <v>60</v>
      </c>
      <c r="H62" t="s">
        <v>1335</v>
      </c>
      <c r="I62" s="9" t="s">
        <v>1237</v>
      </c>
      <c r="J62" s="11" t="str">
        <f t="shared" si="4"/>
        <v>"Lac de Tseuzier"</v>
      </c>
      <c r="K62" s="11" t="str">
        <f t="shared" si="5"/>
        <v>"Valais"</v>
      </c>
      <c r="L62" t="s">
        <v>1162</v>
      </c>
      <c r="M62" s="11" t="s">
        <v>1336</v>
      </c>
      <c r="N62" s="11" t="s">
        <v>1337</v>
      </c>
      <c r="O62" s="11" t="str">
        <f t="shared" si="6"/>
        <v>"1,777"</v>
      </c>
      <c r="P62" s="11" t="str">
        <f t="shared" si="7"/>
        <v>"5,83"</v>
      </c>
      <c r="Q62" s="11">
        <v>140</v>
      </c>
      <c r="R62" s="19">
        <v>460</v>
      </c>
      <c r="T62" s="9"/>
      <c r="V62" s="9"/>
      <c r="W62" s="9"/>
      <c r="Z62" s="11"/>
      <c r="AA62" s="11"/>
      <c r="AB62" s="11"/>
      <c r="AC62" s="11"/>
      <c r="AD62" s="11"/>
      <c r="AE62" s="19"/>
      <c r="AF62" s="9"/>
    </row>
    <row r="63" spans="1:33" ht="30" x14ac:dyDescent="0.25">
      <c r="A63" s="11">
        <v>1.401</v>
      </c>
      <c r="B63" s="11">
        <v>4.5960000000000001</v>
      </c>
      <c r="C63" s="9" t="s">
        <v>1338</v>
      </c>
      <c r="D63" t="s">
        <v>1271</v>
      </c>
      <c r="G63" s="9">
        <v>61</v>
      </c>
      <c r="H63" t="s">
        <v>1338</v>
      </c>
      <c r="I63" s="9" t="s">
        <v>1237</v>
      </c>
      <c r="J63" s="11" t="str">
        <f t="shared" si="4"/>
        <v>"Sufnersee"</v>
      </c>
      <c r="K63" s="11" t="str">
        <f t="shared" si="5"/>
        <v>"Grisons"</v>
      </c>
      <c r="L63" t="s">
        <v>1169</v>
      </c>
      <c r="M63" s="11" t="s">
        <v>1339</v>
      </c>
      <c r="N63" s="11" t="s">
        <v>1337</v>
      </c>
      <c r="O63" s="11" t="str">
        <f t="shared" si="6"/>
        <v>"1,401"</v>
      </c>
      <c r="P63" s="11" t="str">
        <f t="shared" si="7"/>
        <v>"4,596"</v>
      </c>
      <c r="Q63" s="11">
        <v>51</v>
      </c>
      <c r="R63" s="19">
        <v>167</v>
      </c>
      <c r="T63" s="9"/>
      <c r="V63" s="9"/>
      <c r="W63" s="9"/>
      <c r="Z63" s="11"/>
      <c r="AA63" s="11"/>
      <c r="AB63" s="11"/>
      <c r="AC63" s="11"/>
      <c r="AD63" s="11"/>
      <c r="AE63" s="19"/>
      <c r="AF63" s="11"/>
      <c r="AG63" s="11"/>
    </row>
    <row r="64" spans="1:33" ht="30" x14ac:dyDescent="0.25">
      <c r="A64" s="11">
        <v>1.956</v>
      </c>
      <c r="B64" s="11">
        <v>6.4169999999999998</v>
      </c>
      <c r="C64" s="9" t="s">
        <v>1340</v>
      </c>
      <c r="D64" t="s">
        <v>1271</v>
      </c>
      <c r="G64" s="9">
        <v>62</v>
      </c>
      <c r="H64" t="s">
        <v>1340</v>
      </c>
      <c r="I64" s="9" t="s">
        <v>1237</v>
      </c>
      <c r="J64" s="11" t="str">
        <f t="shared" si="4"/>
        <v>"Lai da Curnera"</v>
      </c>
      <c r="K64" s="11" t="str">
        <f t="shared" si="5"/>
        <v>"Grisons"</v>
      </c>
      <c r="L64" t="s">
        <v>1169</v>
      </c>
      <c r="M64" s="11" t="s">
        <v>1341</v>
      </c>
      <c r="N64" s="11" t="s">
        <v>1342</v>
      </c>
      <c r="O64" s="11" t="str">
        <f t="shared" si="6"/>
        <v>"1,956"</v>
      </c>
      <c r="P64" s="11" t="str">
        <f t="shared" si="7"/>
        <v>"6,417"</v>
      </c>
      <c r="Q64" s="11">
        <v>136</v>
      </c>
      <c r="R64" s="19">
        <v>446</v>
      </c>
      <c r="T64" s="9"/>
      <c r="V64" s="9"/>
      <c r="W64" s="9"/>
      <c r="Z64" s="11"/>
      <c r="AA64" s="11"/>
      <c r="AB64" s="11"/>
      <c r="AC64" s="11"/>
      <c r="AD64" s="11"/>
      <c r="AE64" s="19"/>
      <c r="AF64" s="11"/>
      <c r="AG64" s="11"/>
    </row>
    <row r="65" spans="1:33" ht="75" x14ac:dyDescent="0.25">
      <c r="A65" s="11">
        <v>1.768</v>
      </c>
      <c r="B65" s="11">
        <v>5.8010000000000002</v>
      </c>
      <c r="C65" s="9" t="s">
        <v>1344</v>
      </c>
      <c r="D65" t="s">
        <v>1271</v>
      </c>
      <c r="G65" s="9">
        <v>63</v>
      </c>
      <c r="H65" t="s">
        <v>1343</v>
      </c>
      <c r="I65" s="9" t="s">
        <v>1159</v>
      </c>
      <c r="J65" s="11" t="str">
        <f t="shared" si="4"/>
        <v>"Lej da San Murezzan, St. Moritzersee"</v>
      </c>
      <c r="K65" s="11" t="str">
        <f t="shared" si="5"/>
        <v>"Grisons"</v>
      </c>
      <c r="L65" t="s">
        <v>1264</v>
      </c>
      <c r="M65" s="11" t="s">
        <v>1345</v>
      </c>
      <c r="N65" s="11" t="s">
        <v>1346</v>
      </c>
      <c r="O65" s="11" t="str">
        <f t="shared" si="6"/>
        <v>"1,768"</v>
      </c>
      <c r="P65" s="11" t="str">
        <f t="shared" si="7"/>
        <v>"5,801"</v>
      </c>
      <c r="Q65" s="11">
        <v>42</v>
      </c>
      <c r="R65" s="19">
        <v>138</v>
      </c>
      <c r="T65" s="9"/>
      <c r="V65" s="9"/>
      <c r="W65" s="9"/>
      <c r="Z65" s="11"/>
      <c r="AA65" s="11"/>
      <c r="AB65" s="11"/>
      <c r="AC65" s="11"/>
      <c r="AD65" s="11"/>
      <c r="AE65" s="19"/>
      <c r="AF65" s="11"/>
      <c r="AG65" s="11"/>
    </row>
    <row r="66" spans="1:33" ht="30" x14ac:dyDescent="0.25">
      <c r="A66" s="11">
        <v>2.31</v>
      </c>
      <c r="B66" s="11">
        <v>7.58</v>
      </c>
      <c r="C66" s="9" t="s">
        <v>1347</v>
      </c>
      <c r="D66" t="s">
        <v>1298</v>
      </c>
      <c r="G66" s="9">
        <v>64</v>
      </c>
      <c r="H66" t="s">
        <v>1347</v>
      </c>
      <c r="I66" s="9" t="s">
        <v>1247</v>
      </c>
      <c r="J66" s="11" t="str">
        <f t="shared" ref="J66:J97" si="8" xml:space="preserve"> """" &amp; C66 &amp; """"</f>
        <v>"Lago del Narèt"</v>
      </c>
      <c r="K66" s="11" t="str">
        <f t="shared" ref="K66:K97" si="9" xml:space="preserve"> """" &amp; D66 &amp; """"</f>
        <v>"Ticino"</v>
      </c>
      <c r="L66" t="s">
        <v>1180</v>
      </c>
      <c r="M66" s="11" t="s">
        <v>1348</v>
      </c>
      <c r="N66" s="11" t="s">
        <v>1349</v>
      </c>
      <c r="O66" s="11" t="str">
        <f t="shared" ref="O66:O97" si="10" xml:space="preserve"> """" &amp; A66 &amp; """"</f>
        <v>"2,31"</v>
      </c>
      <c r="P66" s="11" t="str">
        <f t="shared" ref="P66:P97" si="11" xml:space="preserve"> """" &amp; B66 &amp; """"</f>
        <v>"7,58"</v>
      </c>
      <c r="Q66" s="11">
        <v>104</v>
      </c>
      <c r="R66" s="19">
        <v>341</v>
      </c>
      <c r="T66" s="9"/>
      <c r="V66" s="9"/>
      <c r="W66" s="9"/>
      <c r="Z66" s="11"/>
      <c r="AA66" s="11"/>
      <c r="AB66" s="11"/>
      <c r="AC66" s="11"/>
      <c r="AD66" s="11"/>
      <c r="AE66" s="19"/>
      <c r="AF66" s="11"/>
      <c r="AG66" s="11"/>
    </row>
    <row r="67" spans="1:33" x14ac:dyDescent="0.25">
      <c r="A67" s="11">
        <v>380</v>
      </c>
      <c r="B67" s="11">
        <v>1.25</v>
      </c>
      <c r="C67" s="9" t="s">
        <v>1350</v>
      </c>
      <c r="D67" t="s">
        <v>1326</v>
      </c>
      <c r="G67" s="9">
        <v>65</v>
      </c>
      <c r="H67" t="s">
        <v>1350</v>
      </c>
      <c r="I67" s="9" t="s">
        <v>1237</v>
      </c>
      <c r="J67" s="11" t="str">
        <f t="shared" si="8"/>
        <v>"Flachsee"</v>
      </c>
      <c r="K67" s="11" t="str">
        <f t="shared" si="9"/>
        <v>"Aargau"</v>
      </c>
      <c r="L67" t="s">
        <v>1169</v>
      </c>
      <c r="M67" s="11" t="s">
        <v>1351</v>
      </c>
      <c r="N67" s="11" t="s">
        <v>1352</v>
      </c>
      <c r="O67" s="11" t="str">
        <f t="shared" si="10"/>
        <v>"380"</v>
      </c>
      <c r="P67" s="11" t="str">
        <f t="shared" si="11"/>
        <v>"1,25"</v>
      </c>
      <c r="Q67" s="11">
        <v>7</v>
      </c>
      <c r="R67" s="19">
        <v>23</v>
      </c>
      <c r="T67" s="9"/>
      <c r="V67" s="9"/>
      <c r="W67" s="9"/>
      <c r="Z67" s="11"/>
      <c r="AA67" s="11"/>
      <c r="AB67" s="11"/>
      <c r="AC67" s="11"/>
      <c r="AD67" s="11"/>
      <c r="AE67" s="19"/>
      <c r="AF67" s="11"/>
      <c r="AG67" s="11"/>
    </row>
    <row r="68" spans="1:33" ht="30" x14ac:dyDescent="0.25">
      <c r="A68" s="11">
        <v>750</v>
      </c>
      <c r="B68" s="11">
        <v>2.46</v>
      </c>
      <c r="C68" s="9" t="s">
        <v>1353</v>
      </c>
      <c r="D68" s="9" t="s">
        <v>1354</v>
      </c>
      <c r="E68" s="9"/>
      <c r="G68" s="9">
        <v>66</v>
      </c>
      <c r="H68" t="s">
        <v>1353</v>
      </c>
      <c r="I68" s="9" t="s">
        <v>1159</v>
      </c>
      <c r="J68" s="11" t="str">
        <f t="shared" si="8"/>
        <v>"Lac des Brenets"</v>
      </c>
      <c r="K68" s="11" t="str">
        <f t="shared" si="9"/>
        <v>"Neuchâtel, France"</v>
      </c>
      <c r="L68" t="s">
        <v>1162</v>
      </c>
      <c r="M68" s="11" t="s">
        <v>1355</v>
      </c>
      <c r="N68" s="11" t="s">
        <v>1352</v>
      </c>
      <c r="O68" s="11" t="str">
        <f t="shared" si="10"/>
        <v>"750"</v>
      </c>
      <c r="P68" s="11" t="str">
        <f t="shared" si="11"/>
        <v>"2,46"</v>
      </c>
      <c r="Q68" s="11">
        <v>26</v>
      </c>
      <c r="R68" s="19">
        <v>85</v>
      </c>
      <c r="T68" s="9"/>
      <c r="V68" s="9"/>
      <c r="W68" s="9"/>
      <c r="Z68" s="11"/>
      <c r="AA68" s="11"/>
      <c r="AB68" s="11"/>
      <c r="AC68" s="11"/>
      <c r="AD68" s="11"/>
      <c r="AE68" s="19"/>
      <c r="AF68" s="11"/>
      <c r="AG68" s="11"/>
    </row>
    <row r="69" spans="1:33" x14ac:dyDescent="0.25">
      <c r="A69" s="11">
        <v>428</v>
      </c>
      <c r="B69" s="11">
        <v>1.4039999999999999</v>
      </c>
      <c r="C69" s="9" t="s">
        <v>1356</v>
      </c>
      <c r="D69" t="s">
        <v>1203</v>
      </c>
      <c r="G69" s="9">
        <v>67</v>
      </c>
      <c r="H69" t="s">
        <v>1356</v>
      </c>
      <c r="I69" s="9" t="s">
        <v>1159</v>
      </c>
      <c r="J69" s="11" t="str">
        <f t="shared" si="8"/>
        <v>"Alte Aare"</v>
      </c>
      <c r="K69" s="11" t="str">
        <f t="shared" si="9"/>
        <v>"Berne"</v>
      </c>
      <c r="L69" t="s">
        <v>1169</v>
      </c>
      <c r="M69" s="11" t="s">
        <v>1355</v>
      </c>
      <c r="N69" s="11" t="s">
        <v>1352</v>
      </c>
      <c r="O69" s="11" t="str">
        <f t="shared" si="10"/>
        <v>"428"</v>
      </c>
      <c r="P69" s="11" t="str">
        <f t="shared" si="11"/>
        <v>"1,404"</v>
      </c>
      <c r="Q69" s="9"/>
      <c r="T69" s="9"/>
      <c r="V69" s="9"/>
      <c r="W69" s="9"/>
      <c r="X69" s="9"/>
      <c r="Z69" s="11"/>
      <c r="AA69" s="11"/>
      <c r="AB69" s="11"/>
      <c r="AC69" s="11"/>
      <c r="AD69" s="11"/>
      <c r="AE69" s="19"/>
      <c r="AF69" s="11"/>
      <c r="AG69" s="11"/>
    </row>
    <row r="70" spans="1:33" ht="30" x14ac:dyDescent="0.25">
      <c r="A70" s="11">
        <v>1.335</v>
      </c>
      <c r="B70" s="11">
        <v>4.38</v>
      </c>
      <c r="C70" s="9" t="s">
        <v>1357</v>
      </c>
      <c r="D70" t="s">
        <v>1358</v>
      </c>
      <c r="G70" s="9">
        <v>68</v>
      </c>
      <c r="H70" t="s">
        <v>1357</v>
      </c>
      <c r="I70" s="9" t="s">
        <v>1237</v>
      </c>
      <c r="J70" s="11" t="str">
        <f t="shared" si="8"/>
        <v>"Gigerwaldsee"</v>
      </c>
      <c r="K70" s="11" t="str">
        <f t="shared" si="9"/>
        <v>"St. Gallen"</v>
      </c>
      <c r="L70" t="s">
        <v>1169</v>
      </c>
      <c r="M70" s="11" t="s">
        <v>1359</v>
      </c>
      <c r="N70" s="11" t="s">
        <v>1352</v>
      </c>
      <c r="O70" s="11" t="str">
        <f t="shared" si="10"/>
        <v>"1,335"</v>
      </c>
      <c r="P70" s="11" t="str">
        <f t="shared" si="11"/>
        <v>"4,38"</v>
      </c>
      <c r="Q70" s="11">
        <v>135</v>
      </c>
      <c r="R70" s="19">
        <v>443</v>
      </c>
      <c r="T70" s="9"/>
      <c r="V70" s="9"/>
      <c r="W70" s="9"/>
      <c r="Z70" s="11"/>
      <c r="AA70" s="11"/>
      <c r="AB70" s="11"/>
      <c r="AC70" s="11"/>
      <c r="AD70" s="9"/>
      <c r="AE70" s="20"/>
      <c r="AF70" s="11"/>
      <c r="AG70" s="11"/>
    </row>
    <row r="71" spans="1:33" ht="30" x14ac:dyDescent="0.25">
      <c r="A71" s="11">
        <v>716</v>
      </c>
      <c r="B71" s="11">
        <v>2.3490000000000002</v>
      </c>
      <c r="C71" s="9" t="s">
        <v>1360</v>
      </c>
      <c r="D71" s="9" t="s">
        <v>1354</v>
      </c>
      <c r="E71" s="9"/>
      <c r="G71" s="9">
        <v>69</v>
      </c>
      <c r="H71" t="s">
        <v>1360</v>
      </c>
      <c r="I71" s="9" t="s">
        <v>1237</v>
      </c>
      <c r="J71" s="11" t="str">
        <f t="shared" si="8"/>
        <v>"Lac de Moron"</v>
      </c>
      <c r="K71" s="11" t="str">
        <f t="shared" si="9"/>
        <v>"Neuchâtel, France"</v>
      </c>
      <c r="L71" t="s">
        <v>1162</v>
      </c>
      <c r="M71" s="11" t="s">
        <v>1359</v>
      </c>
      <c r="N71" s="11" t="s">
        <v>1352</v>
      </c>
      <c r="O71" s="11" t="str">
        <f t="shared" si="10"/>
        <v>"716"</v>
      </c>
      <c r="P71" s="11" t="str">
        <f t="shared" si="11"/>
        <v>"2,349"</v>
      </c>
      <c r="Q71" s="11">
        <v>59</v>
      </c>
      <c r="R71" s="19">
        <v>194</v>
      </c>
      <c r="T71" s="9"/>
      <c r="V71" s="9"/>
      <c r="W71" s="9"/>
      <c r="Z71" s="11"/>
      <c r="AA71" s="11"/>
      <c r="AB71" s="11"/>
      <c r="AC71" s="11"/>
      <c r="AD71" s="11"/>
      <c r="AE71" s="19"/>
      <c r="AF71" s="9"/>
    </row>
    <row r="72" spans="1:33" ht="45" x14ac:dyDescent="0.25">
      <c r="A72" s="11">
        <v>801</v>
      </c>
      <c r="B72" s="11">
        <v>2.6280000000000001</v>
      </c>
      <c r="C72" s="9" t="s">
        <v>1361</v>
      </c>
      <c r="D72" t="s">
        <v>1245</v>
      </c>
      <c r="G72" s="9">
        <v>70</v>
      </c>
      <c r="H72" t="s">
        <v>1361</v>
      </c>
      <c r="I72" s="9" t="s">
        <v>1237</v>
      </c>
      <c r="J72" s="11" t="str">
        <f t="shared" si="8"/>
        <v>"Lac de Montsalvens"</v>
      </c>
      <c r="K72" s="11" t="str">
        <f t="shared" si="9"/>
        <v>"Fribourg"</v>
      </c>
      <c r="L72" t="s">
        <v>1169</v>
      </c>
      <c r="M72" s="11" t="s">
        <v>1362</v>
      </c>
      <c r="N72" s="11" t="s">
        <v>1363</v>
      </c>
      <c r="O72" s="11" t="str">
        <f t="shared" si="10"/>
        <v>"801"</v>
      </c>
      <c r="P72" s="11" t="str">
        <f t="shared" si="11"/>
        <v>"2,628"</v>
      </c>
      <c r="Q72" s="11">
        <v>50</v>
      </c>
      <c r="R72" s="19">
        <v>160</v>
      </c>
      <c r="T72" s="9"/>
      <c r="V72" s="9"/>
      <c r="W72" s="9"/>
      <c r="X72" s="9"/>
      <c r="Z72" s="11"/>
      <c r="AA72" s="11"/>
      <c r="AB72" s="11"/>
      <c r="AC72" s="11"/>
      <c r="AD72" s="11"/>
      <c r="AE72" s="19"/>
      <c r="AF72" s="11"/>
      <c r="AG72" s="11"/>
    </row>
    <row r="73" spans="1:33" ht="30" x14ac:dyDescent="0.25">
      <c r="A73" s="11">
        <v>1.7669999999999999</v>
      </c>
      <c r="B73" s="11">
        <v>5.7969999999999997</v>
      </c>
      <c r="C73" s="9" t="s">
        <v>1364</v>
      </c>
      <c r="D73" t="s">
        <v>1203</v>
      </c>
      <c r="G73" s="9">
        <v>71</v>
      </c>
      <c r="H73" t="s">
        <v>1364</v>
      </c>
      <c r="I73" s="9" t="s">
        <v>1237</v>
      </c>
      <c r="J73" s="11" t="str">
        <f t="shared" si="8"/>
        <v>"Räterichsbodensee"</v>
      </c>
      <c r="K73" s="11" t="str">
        <f t="shared" si="9"/>
        <v>"Berne"</v>
      </c>
      <c r="L73" t="s">
        <v>1169</v>
      </c>
      <c r="M73" s="11" t="s">
        <v>1362</v>
      </c>
      <c r="N73" s="11" t="s">
        <v>1363</v>
      </c>
      <c r="O73" s="11" t="str">
        <f t="shared" si="10"/>
        <v>"1,767"</v>
      </c>
      <c r="P73" s="11" t="str">
        <f t="shared" si="11"/>
        <v>"5,797"</v>
      </c>
      <c r="Q73" s="11">
        <v>77</v>
      </c>
      <c r="R73" s="19">
        <v>253</v>
      </c>
      <c r="T73" s="9"/>
      <c r="V73" s="9"/>
      <c r="W73" s="9"/>
      <c r="Z73" s="11"/>
      <c r="AA73" s="11"/>
      <c r="AB73" s="11"/>
      <c r="AC73" s="11"/>
      <c r="AD73" s="11"/>
      <c r="AE73" s="19"/>
      <c r="AF73" s="11"/>
      <c r="AG73" s="11"/>
    </row>
    <row r="74" spans="1:33" ht="30" x14ac:dyDescent="0.25">
      <c r="A74" s="11">
        <v>1.002</v>
      </c>
      <c r="B74" s="11">
        <v>3.2869999999999999</v>
      </c>
      <c r="C74" s="9" t="s">
        <v>1365</v>
      </c>
      <c r="D74" t="s">
        <v>1248</v>
      </c>
      <c r="G74" s="9">
        <v>72</v>
      </c>
      <c r="H74" t="s">
        <v>1365</v>
      </c>
      <c r="I74" s="9" t="s">
        <v>1247</v>
      </c>
      <c r="J74" s="11" t="str">
        <f t="shared" si="8"/>
        <v>"Lac Brenet"</v>
      </c>
      <c r="K74" s="11" t="str">
        <f t="shared" si="9"/>
        <v>"Vaud"</v>
      </c>
      <c r="L74" t="s">
        <v>1169</v>
      </c>
      <c r="M74" s="11" t="s">
        <v>1299</v>
      </c>
      <c r="N74" s="11" t="s">
        <v>1363</v>
      </c>
      <c r="O74" s="11" t="str">
        <f t="shared" si="10"/>
        <v>"1,002"</v>
      </c>
      <c r="P74" s="11" t="str">
        <f t="shared" si="11"/>
        <v>"3,287"</v>
      </c>
      <c r="Q74" s="11">
        <v>18</v>
      </c>
      <c r="R74" s="19">
        <v>59</v>
      </c>
      <c r="T74" s="9"/>
      <c r="V74" s="9"/>
      <c r="W74" s="9"/>
      <c r="Z74" s="11"/>
      <c r="AA74" s="11"/>
      <c r="AB74" s="11"/>
      <c r="AC74" s="11"/>
      <c r="AD74" s="11"/>
      <c r="AE74" s="19"/>
      <c r="AF74" s="11"/>
      <c r="AG74" s="11"/>
    </row>
    <row r="75" spans="1:33" ht="30" x14ac:dyDescent="0.25">
      <c r="A75" s="11">
        <v>2.2050000000000001</v>
      </c>
      <c r="B75" s="11">
        <v>7.234</v>
      </c>
      <c r="C75" s="9" t="s">
        <v>1366</v>
      </c>
      <c r="D75" t="s">
        <v>1273</v>
      </c>
      <c r="G75" s="9">
        <v>73</v>
      </c>
      <c r="H75" t="s">
        <v>1366</v>
      </c>
      <c r="I75" s="9" t="s">
        <v>1159</v>
      </c>
      <c r="J75" s="11" t="str">
        <f t="shared" si="8"/>
        <v>"Daubensee"</v>
      </c>
      <c r="K75" s="11" t="str">
        <f t="shared" si="9"/>
        <v>"Valais"</v>
      </c>
      <c r="L75" t="s">
        <v>1169</v>
      </c>
      <c r="M75" s="11" t="s">
        <v>1367</v>
      </c>
      <c r="N75" s="11" t="s">
        <v>1363</v>
      </c>
      <c r="O75" s="11" t="str">
        <f t="shared" si="10"/>
        <v>"2,205"</v>
      </c>
      <c r="P75" s="11" t="str">
        <f t="shared" si="11"/>
        <v>"7,234"</v>
      </c>
      <c r="Q75" s="9"/>
      <c r="T75" s="9"/>
      <c r="V75" s="9"/>
      <c r="W75" s="9"/>
      <c r="Z75" s="11"/>
      <c r="AA75" s="11"/>
      <c r="AB75" s="11"/>
      <c r="AC75" s="11"/>
      <c r="AD75" s="11"/>
      <c r="AE75" s="19"/>
      <c r="AF75" s="11"/>
      <c r="AG75" s="11"/>
    </row>
    <row r="76" spans="1:33" x14ac:dyDescent="0.25">
      <c r="A76" s="11">
        <v>2.3860000000000001</v>
      </c>
      <c r="B76" s="11">
        <v>7.8280000000000003</v>
      </c>
      <c r="C76" s="9" t="s">
        <v>1368</v>
      </c>
      <c r="D76" t="s">
        <v>1273</v>
      </c>
      <c r="G76" s="9">
        <v>74</v>
      </c>
      <c r="H76" t="s">
        <v>1368</v>
      </c>
      <c r="I76" s="9" t="s">
        <v>1237</v>
      </c>
      <c r="J76" s="11" t="str">
        <f t="shared" si="8"/>
        <v>"Griessee"</v>
      </c>
      <c r="K76" s="11" t="str">
        <f t="shared" si="9"/>
        <v>"Valais"</v>
      </c>
      <c r="L76" t="s">
        <v>1162</v>
      </c>
      <c r="M76" s="11" t="s">
        <v>1367</v>
      </c>
      <c r="N76" s="11" t="s">
        <v>1363</v>
      </c>
      <c r="O76" s="11" t="str">
        <f t="shared" si="10"/>
        <v>"2,386"</v>
      </c>
      <c r="P76" s="11" t="str">
        <f t="shared" si="11"/>
        <v>"7,828"</v>
      </c>
      <c r="Q76" s="11">
        <v>66</v>
      </c>
      <c r="R76" s="19">
        <v>217</v>
      </c>
      <c r="T76" s="9"/>
      <c r="V76" s="9"/>
      <c r="W76" s="9"/>
      <c r="Z76" s="11"/>
      <c r="AA76" s="11"/>
      <c r="AB76" s="11"/>
      <c r="AC76" s="11"/>
      <c r="AD76" s="9"/>
      <c r="AE76" s="20"/>
      <c r="AF76" s="11"/>
      <c r="AG76" s="11"/>
    </row>
    <row r="77" spans="1:33" ht="30" x14ac:dyDescent="0.25">
      <c r="A77" s="11">
        <v>1.85</v>
      </c>
      <c r="B77" s="11">
        <v>6.07</v>
      </c>
      <c r="C77" s="9" t="s">
        <v>1369</v>
      </c>
      <c r="D77" t="s">
        <v>1203</v>
      </c>
      <c r="G77" s="9">
        <v>75</v>
      </c>
      <c r="H77" t="s">
        <v>1369</v>
      </c>
      <c r="I77" s="9" t="s">
        <v>1247</v>
      </c>
      <c r="J77" s="11" t="str">
        <f t="shared" si="8"/>
        <v>"Gelmersee"</v>
      </c>
      <c r="K77" s="11" t="str">
        <f t="shared" si="9"/>
        <v>"Berne"</v>
      </c>
      <c r="L77" t="s">
        <v>1169</v>
      </c>
      <c r="M77" s="11" t="s">
        <v>1303</v>
      </c>
      <c r="N77" s="11" t="s">
        <v>1370</v>
      </c>
      <c r="O77" s="11" t="str">
        <f t="shared" si="10"/>
        <v>"1,85"</v>
      </c>
      <c r="P77" s="11" t="str">
        <f t="shared" si="11"/>
        <v>"6,07"</v>
      </c>
      <c r="Q77" s="11">
        <v>42</v>
      </c>
      <c r="R77" s="19">
        <v>138</v>
      </c>
      <c r="T77" s="9"/>
      <c r="V77" s="9"/>
      <c r="W77" s="9"/>
      <c r="Z77" s="11"/>
      <c r="AA77" s="11"/>
      <c r="AB77" s="11"/>
      <c r="AC77" s="11"/>
      <c r="AD77" s="11"/>
      <c r="AE77" s="19"/>
      <c r="AF77" s="9"/>
    </row>
    <row r="78" spans="1:33" ht="30" x14ac:dyDescent="0.25">
      <c r="A78" s="11">
        <v>1.81</v>
      </c>
      <c r="B78" s="11">
        <v>5.94</v>
      </c>
      <c r="C78" s="9" t="s">
        <v>1371</v>
      </c>
      <c r="D78" t="s">
        <v>1273</v>
      </c>
      <c r="G78" s="9">
        <v>76</v>
      </c>
      <c r="H78" t="s">
        <v>1371</v>
      </c>
      <c r="I78" s="9" t="s">
        <v>1237</v>
      </c>
      <c r="J78" s="11" t="str">
        <f t="shared" si="8"/>
        <v>"Lac des Toules"</v>
      </c>
      <c r="K78" s="11" t="str">
        <f t="shared" si="9"/>
        <v>"Valais"</v>
      </c>
      <c r="L78" t="s">
        <v>1162</v>
      </c>
      <c r="M78" s="11" t="s">
        <v>1372</v>
      </c>
      <c r="N78" s="11" t="s">
        <v>1373</v>
      </c>
      <c r="O78" s="11" t="str">
        <f t="shared" si="10"/>
        <v>"1,81"</v>
      </c>
      <c r="P78" s="11" t="str">
        <f t="shared" si="11"/>
        <v>"5,94"</v>
      </c>
      <c r="Q78" s="11">
        <v>75</v>
      </c>
      <c r="R78" s="19">
        <v>246</v>
      </c>
      <c r="T78" s="9"/>
      <c r="V78" s="9"/>
      <c r="W78" s="9"/>
      <c r="Z78" s="11"/>
      <c r="AA78" s="11"/>
      <c r="AB78" s="11"/>
      <c r="AC78" s="11"/>
      <c r="AD78" s="11"/>
      <c r="AE78" s="19"/>
      <c r="AF78" s="11"/>
      <c r="AG78" s="11"/>
    </row>
    <row r="79" spans="1:33" ht="30" x14ac:dyDescent="0.25">
      <c r="A79" s="11">
        <v>1.56</v>
      </c>
      <c r="B79" s="11">
        <v>5.12</v>
      </c>
      <c r="C79" s="9" t="s">
        <v>1375</v>
      </c>
      <c r="D79" t="s">
        <v>1271</v>
      </c>
      <c r="G79" s="9">
        <v>77</v>
      </c>
      <c r="H79" t="s">
        <v>1374</v>
      </c>
      <c r="I79" s="9" t="s">
        <v>1247</v>
      </c>
      <c r="J79" s="11" t="str">
        <f t="shared" si="8"/>
        <v>"Davosersee"</v>
      </c>
      <c r="K79" s="11" t="str">
        <f t="shared" si="9"/>
        <v>"Grisons"</v>
      </c>
      <c r="L79" t="s">
        <v>1169</v>
      </c>
      <c r="M79" s="11" t="s">
        <v>1376</v>
      </c>
      <c r="N79" s="13">
        <v>43344</v>
      </c>
      <c r="O79" s="11" t="str">
        <f t="shared" si="10"/>
        <v>"1,56"</v>
      </c>
      <c r="P79" s="11" t="str">
        <f t="shared" si="11"/>
        <v>"5,12"</v>
      </c>
      <c r="Q79" s="11">
        <v>52</v>
      </c>
      <c r="R79" s="19">
        <v>171</v>
      </c>
      <c r="T79" s="9"/>
      <c r="V79" s="9"/>
      <c r="W79" s="9"/>
      <c r="Z79" s="11"/>
      <c r="AA79" s="11"/>
      <c r="AB79" s="11"/>
      <c r="AC79" s="11"/>
      <c r="AD79" s="11"/>
      <c r="AE79" s="19"/>
      <c r="AF79" s="11"/>
      <c r="AG79" s="11"/>
    </row>
    <row r="80" spans="1:33" ht="45" x14ac:dyDescent="0.25">
      <c r="A80" s="11">
        <v>2.2050000000000001</v>
      </c>
      <c r="B80" s="11">
        <v>7.234</v>
      </c>
      <c r="C80" s="9" t="s">
        <v>1377</v>
      </c>
      <c r="D80" t="s">
        <v>1273</v>
      </c>
      <c r="G80" s="9">
        <v>78</v>
      </c>
      <c r="H80" t="s">
        <v>1377</v>
      </c>
      <c r="I80" s="9" t="s">
        <v>1237</v>
      </c>
      <c r="J80" s="11" t="str">
        <f t="shared" si="8"/>
        <v>"Lac du Vieux Emosson"</v>
      </c>
      <c r="K80" s="11" t="str">
        <f t="shared" si="9"/>
        <v>"Valais"</v>
      </c>
      <c r="L80" t="s">
        <v>1162</v>
      </c>
      <c r="M80" s="11" t="s">
        <v>1378</v>
      </c>
      <c r="N80" s="11" t="s">
        <v>1379</v>
      </c>
      <c r="O80" s="11" t="str">
        <f t="shared" si="10"/>
        <v>"2,205"</v>
      </c>
      <c r="P80" s="11" t="str">
        <f t="shared" si="11"/>
        <v>"7,234"</v>
      </c>
      <c r="Q80" s="11">
        <v>42</v>
      </c>
      <c r="R80" s="19">
        <v>138</v>
      </c>
      <c r="T80" s="9"/>
      <c r="V80" s="9"/>
      <c r="W80" s="9"/>
      <c r="Z80" s="11"/>
      <c r="AA80" s="13"/>
      <c r="AB80" s="11"/>
      <c r="AC80" s="11"/>
      <c r="AD80" s="11"/>
      <c r="AE80" s="19"/>
      <c r="AF80" s="11"/>
      <c r="AG80" s="11"/>
    </row>
    <row r="81" spans="1:33" ht="30" x14ac:dyDescent="0.25">
      <c r="A81" s="11">
        <v>2.1349999999999998</v>
      </c>
      <c r="B81" s="11">
        <v>7.0049999999999999</v>
      </c>
      <c r="C81" s="9" t="s">
        <v>1380</v>
      </c>
      <c r="D81" t="s">
        <v>1298</v>
      </c>
      <c r="G81" s="9">
        <v>79</v>
      </c>
      <c r="H81" t="s">
        <v>1380</v>
      </c>
      <c r="I81" s="9" t="s">
        <v>1247</v>
      </c>
      <c r="J81" s="11" t="str">
        <f t="shared" si="8"/>
        <v>"Lago di Lucendro"</v>
      </c>
      <c r="K81" s="11" t="str">
        <f t="shared" si="9"/>
        <v>"Ticino"</v>
      </c>
      <c r="L81" t="s">
        <v>1169</v>
      </c>
      <c r="M81" s="11" t="s">
        <v>1310</v>
      </c>
      <c r="N81" s="11" t="s">
        <v>1379</v>
      </c>
      <c r="O81" s="11" t="str">
        <f t="shared" si="10"/>
        <v>"2,135"</v>
      </c>
      <c r="P81" s="11" t="str">
        <f t="shared" si="11"/>
        <v>"7,005"</v>
      </c>
      <c r="Q81" s="11">
        <v>96</v>
      </c>
      <c r="R81" s="19">
        <v>315</v>
      </c>
      <c r="T81" s="9"/>
      <c r="V81" s="9"/>
      <c r="W81" s="9"/>
      <c r="Z81" s="11"/>
      <c r="AA81" s="11"/>
      <c r="AB81" s="11"/>
      <c r="AC81" s="11"/>
      <c r="AD81" s="11"/>
      <c r="AE81" s="19"/>
      <c r="AF81" s="11"/>
      <c r="AG81" s="11"/>
    </row>
    <row r="82" spans="1:33" ht="30" x14ac:dyDescent="0.25">
      <c r="A82" s="11">
        <v>503</v>
      </c>
      <c r="B82" s="11">
        <v>1.65</v>
      </c>
      <c r="C82" s="9" t="s">
        <v>1381</v>
      </c>
      <c r="D82" t="s">
        <v>1233</v>
      </c>
      <c r="G82" s="9">
        <v>80</v>
      </c>
      <c r="H82" t="s">
        <v>1381</v>
      </c>
      <c r="I82" s="9" t="s">
        <v>1159</v>
      </c>
      <c r="J82" s="11" t="str">
        <f t="shared" si="8"/>
        <v>"Mauensee"</v>
      </c>
      <c r="K82" s="11" t="str">
        <f t="shared" si="9"/>
        <v>"Lucerne"</v>
      </c>
      <c r="L82" t="s">
        <v>1169</v>
      </c>
      <c r="M82" s="11" t="s">
        <v>1310</v>
      </c>
      <c r="N82" s="11" t="s">
        <v>1379</v>
      </c>
      <c r="O82" s="11" t="str">
        <f t="shared" si="10"/>
        <v>"503"</v>
      </c>
      <c r="P82" s="11" t="str">
        <f t="shared" si="11"/>
        <v>"1,65"</v>
      </c>
      <c r="Q82" s="11">
        <v>9</v>
      </c>
      <c r="R82" s="19">
        <v>30</v>
      </c>
      <c r="T82" s="9"/>
      <c r="V82" s="9"/>
      <c r="W82" s="9"/>
      <c r="Z82" s="11"/>
      <c r="AA82" s="11"/>
      <c r="AB82" s="11"/>
      <c r="AC82" s="11"/>
      <c r="AD82" s="11"/>
      <c r="AE82" s="19"/>
      <c r="AF82" s="11"/>
      <c r="AG82" s="11"/>
    </row>
    <row r="83" spans="1:33" ht="30" x14ac:dyDescent="0.25">
      <c r="A83" s="11">
        <v>1.891</v>
      </c>
      <c r="B83" s="11">
        <v>6.2039999999999997</v>
      </c>
      <c r="C83" s="9" t="s">
        <v>1382</v>
      </c>
      <c r="D83" t="s">
        <v>1253</v>
      </c>
      <c r="G83" s="9">
        <v>81</v>
      </c>
      <c r="H83" t="s">
        <v>1382</v>
      </c>
      <c r="I83" s="9" t="s">
        <v>1247</v>
      </c>
      <c r="J83" s="11" t="str">
        <f t="shared" si="8"/>
        <v>"Melchsee"</v>
      </c>
      <c r="K83" s="11" t="str">
        <f t="shared" si="9"/>
        <v>"Obwalden"</v>
      </c>
      <c r="L83" t="s">
        <v>1169</v>
      </c>
      <c r="M83" s="11" t="s">
        <v>1316</v>
      </c>
      <c r="N83" s="11" t="s">
        <v>1383</v>
      </c>
      <c r="O83" s="11" t="str">
        <f t="shared" si="10"/>
        <v>"1,891"</v>
      </c>
      <c r="P83" s="11" t="str">
        <f t="shared" si="11"/>
        <v>"6,204"</v>
      </c>
      <c r="Q83" s="11">
        <v>18</v>
      </c>
      <c r="R83" s="19">
        <v>59</v>
      </c>
      <c r="T83" s="9"/>
      <c r="V83" s="9"/>
      <c r="W83" s="9"/>
      <c r="Z83" s="11"/>
      <c r="AA83" s="11"/>
      <c r="AB83" s="11"/>
      <c r="AC83" s="11"/>
      <c r="AD83" s="11"/>
      <c r="AE83" s="19"/>
      <c r="AF83" s="11"/>
      <c r="AG83" s="11"/>
    </row>
    <row r="84" spans="1:33" ht="30" x14ac:dyDescent="0.25">
      <c r="A84" s="11">
        <v>461</v>
      </c>
      <c r="B84" s="11">
        <v>1.512</v>
      </c>
      <c r="C84" s="9" t="s">
        <v>1384</v>
      </c>
      <c r="D84" t="s">
        <v>1203</v>
      </c>
      <c r="G84" s="9">
        <v>82</v>
      </c>
      <c r="H84" t="s">
        <v>1384</v>
      </c>
      <c r="I84" s="9" t="s">
        <v>1237</v>
      </c>
      <c r="J84" s="11" t="str">
        <f t="shared" si="8"/>
        <v>"Niederriedsee"</v>
      </c>
      <c r="K84" s="11" t="str">
        <f t="shared" si="9"/>
        <v>"Berne"</v>
      </c>
      <c r="L84" t="s">
        <v>1169</v>
      </c>
      <c r="M84" s="11" t="s">
        <v>1321</v>
      </c>
      <c r="N84" s="11" t="s">
        <v>1385</v>
      </c>
      <c r="O84" s="11" t="str">
        <f t="shared" si="10"/>
        <v>"461"</v>
      </c>
      <c r="P84" s="11" t="str">
        <f t="shared" si="11"/>
        <v>"1,512"</v>
      </c>
      <c r="Q84" s="11">
        <v>8</v>
      </c>
      <c r="R84" s="19">
        <v>26</v>
      </c>
      <c r="T84" s="9"/>
      <c r="V84" s="9"/>
      <c r="W84" s="9"/>
      <c r="Z84" s="11"/>
      <c r="AA84" s="11"/>
      <c r="AB84" s="11"/>
      <c r="AC84" s="11"/>
      <c r="AD84" s="11"/>
      <c r="AE84" s="19"/>
      <c r="AF84" s="11"/>
      <c r="AG84" s="11"/>
    </row>
    <row r="85" spans="1:33" x14ac:dyDescent="0.25">
      <c r="A85" s="11">
        <v>643</v>
      </c>
      <c r="B85" s="11">
        <v>2.11</v>
      </c>
      <c r="C85" s="9" t="s">
        <v>1386</v>
      </c>
      <c r="D85" t="s">
        <v>1249</v>
      </c>
      <c r="G85" s="9">
        <v>83</v>
      </c>
      <c r="H85" t="s">
        <v>1386</v>
      </c>
      <c r="I85" s="9" t="s">
        <v>1159</v>
      </c>
      <c r="J85" s="11" t="str">
        <f t="shared" si="8"/>
        <v>"Türlersee"</v>
      </c>
      <c r="K85" s="11" t="str">
        <f t="shared" si="9"/>
        <v>"Zurich"</v>
      </c>
      <c r="L85" t="s">
        <v>1169</v>
      </c>
      <c r="M85" s="11" t="s">
        <v>1321</v>
      </c>
      <c r="N85" s="11" t="s">
        <v>1385</v>
      </c>
      <c r="O85" s="11" t="str">
        <f t="shared" si="10"/>
        <v>"643"</v>
      </c>
      <c r="P85" s="11" t="str">
        <f t="shared" si="11"/>
        <v>"2,11"</v>
      </c>
      <c r="Q85" s="11">
        <v>22</v>
      </c>
      <c r="R85" s="19">
        <v>72</v>
      </c>
      <c r="T85" s="9"/>
      <c r="V85" s="9"/>
      <c r="W85" s="9"/>
      <c r="Z85" s="11"/>
      <c r="AA85" s="11"/>
      <c r="AB85" s="11"/>
      <c r="AC85" s="11"/>
      <c r="AD85" s="11"/>
      <c r="AE85" s="19"/>
      <c r="AF85" s="11"/>
      <c r="AG85" s="11"/>
    </row>
    <row r="86" spans="1:33" ht="30" x14ac:dyDescent="0.25">
      <c r="A86" s="11">
        <v>2.1859999999999999</v>
      </c>
      <c r="B86" s="11">
        <v>7.1719999999999997</v>
      </c>
      <c r="C86" s="9" t="s">
        <v>1387</v>
      </c>
      <c r="D86" t="s">
        <v>1273</v>
      </c>
      <c r="G86" s="9">
        <v>84</v>
      </c>
      <c r="H86" t="s">
        <v>1387</v>
      </c>
      <c r="I86" s="9" t="s">
        <v>1237</v>
      </c>
      <c r="J86" s="11" t="str">
        <f t="shared" si="8"/>
        <v>"Lac de Cleuson"</v>
      </c>
      <c r="K86" s="11" t="str">
        <f t="shared" si="9"/>
        <v>"Valais"</v>
      </c>
      <c r="L86" t="s">
        <v>1162</v>
      </c>
      <c r="M86" s="11" t="s">
        <v>1388</v>
      </c>
      <c r="N86" s="11" t="s">
        <v>1385</v>
      </c>
      <c r="O86" s="11" t="str">
        <f t="shared" si="10"/>
        <v>"2,186"</v>
      </c>
      <c r="P86" s="11" t="str">
        <f t="shared" si="11"/>
        <v>"7,172"</v>
      </c>
      <c r="Q86" s="11">
        <v>76</v>
      </c>
      <c r="R86" s="19">
        <v>249</v>
      </c>
      <c r="T86" s="9"/>
      <c r="V86" s="9"/>
      <c r="W86" s="9"/>
      <c r="Z86" s="11"/>
      <c r="AA86" s="11"/>
      <c r="AB86" s="11"/>
      <c r="AC86" s="11"/>
      <c r="AD86" s="11"/>
      <c r="AE86" s="19"/>
      <c r="AF86" s="11"/>
      <c r="AG86" s="11"/>
    </row>
    <row r="87" spans="1:33" ht="30" x14ac:dyDescent="0.25">
      <c r="A87" s="11">
        <v>674</v>
      </c>
      <c r="B87" s="11">
        <v>2.2109999999999999</v>
      </c>
      <c r="C87" s="9" t="s">
        <v>1389</v>
      </c>
      <c r="D87" t="s">
        <v>1248</v>
      </c>
      <c r="G87" s="9">
        <v>85</v>
      </c>
      <c r="H87" t="s">
        <v>1389</v>
      </c>
      <c r="I87" s="9" t="s">
        <v>1247</v>
      </c>
      <c r="J87" s="11" t="str">
        <f t="shared" si="8"/>
        <v>"Lac de Bret"</v>
      </c>
      <c r="K87" s="11" t="str">
        <f t="shared" si="9"/>
        <v>"Vaud"</v>
      </c>
      <c r="L87" t="s">
        <v>1162</v>
      </c>
      <c r="M87" s="11" t="s">
        <v>1388</v>
      </c>
      <c r="N87" s="11" t="s">
        <v>1385</v>
      </c>
      <c r="O87" s="11" t="str">
        <f t="shared" si="10"/>
        <v>"674"</v>
      </c>
      <c r="P87" s="11" t="str">
        <f t="shared" si="11"/>
        <v>"2,211"</v>
      </c>
      <c r="Q87" s="11">
        <v>20</v>
      </c>
      <c r="R87" s="19">
        <v>66</v>
      </c>
      <c r="T87" s="9"/>
      <c r="V87" s="9"/>
      <c r="W87" s="9"/>
      <c r="Z87" s="11"/>
      <c r="AA87" s="11"/>
      <c r="AB87" s="11"/>
      <c r="AC87" s="11"/>
      <c r="AD87" s="11"/>
      <c r="AE87" s="19"/>
      <c r="AF87" s="11"/>
      <c r="AG87" s="11"/>
    </row>
    <row r="88" spans="1:33" ht="60" x14ac:dyDescent="0.25">
      <c r="A88" s="11">
        <v>2.31</v>
      </c>
      <c r="B88" s="11">
        <v>7.58</v>
      </c>
      <c r="C88" s="9" t="s">
        <v>1391</v>
      </c>
      <c r="D88" t="s">
        <v>1298</v>
      </c>
      <c r="G88" s="9">
        <v>86</v>
      </c>
      <c r="H88" t="s">
        <v>1390</v>
      </c>
      <c r="I88" s="9" t="s">
        <v>1237</v>
      </c>
      <c r="J88" s="11" t="str">
        <f t="shared" si="8"/>
        <v>"Lago dei Cavagnöö, Lago di Cavagnoli"</v>
      </c>
      <c r="K88" s="11" t="str">
        <f t="shared" si="9"/>
        <v>"Ticino"</v>
      </c>
      <c r="L88" t="s">
        <v>1180</v>
      </c>
      <c r="M88" s="11" t="s">
        <v>1388</v>
      </c>
      <c r="N88" s="11" t="s">
        <v>1385</v>
      </c>
      <c r="O88" s="11" t="str">
        <f t="shared" si="10"/>
        <v>"2,31"</v>
      </c>
      <c r="P88" s="11" t="str">
        <f t="shared" si="11"/>
        <v>"7,58"</v>
      </c>
      <c r="Q88" s="11">
        <v>100</v>
      </c>
      <c r="R88" s="19">
        <v>330</v>
      </c>
      <c r="T88" s="9"/>
      <c r="V88" s="9"/>
      <c r="W88" s="9"/>
      <c r="Z88" s="11"/>
      <c r="AA88" s="11"/>
      <c r="AB88" s="11"/>
      <c r="AC88" s="11"/>
      <c r="AD88" s="11"/>
      <c r="AE88" s="19"/>
      <c r="AF88" s="11"/>
      <c r="AG88" s="11"/>
    </row>
    <row r="89" spans="1:33" x14ac:dyDescent="0.25">
      <c r="A89" s="11">
        <v>419</v>
      </c>
      <c r="B89" s="11">
        <v>1.375</v>
      </c>
      <c r="C89" s="9" t="s">
        <v>1392</v>
      </c>
      <c r="D89" t="s">
        <v>1233</v>
      </c>
      <c r="G89" s="9">
        <v>87</v>
      </c>
      <c r="H89" t="s">
        <v>1392</v>
      </c>
      <c r="I89" s="9" t="s">
        <v>1159</v>
      </c>
      <c r="J89" s="11" t="str">
        <f t="shared" si="8"/>
        <v>"Rotsee"</v>
      </c>
      <c r="K89" s="11" t="str">
        <f t="shared" si="9"/>
        <v>"Lucerne"</v>
      </c>
      <c r="L89" t="s">
        <v>1169</v>
      </c>
      <c r="M89" s="11" t="s">
        <v>1393</v>
      </c>
      <c r="N89" s="13">
        <v>43221</v>
      </c>
      <c r="O89" s="11" t="str">
        <f t="shared" si="10"/>
        <v>"419"</v>
      </c>
      <c r="P89" s="11" t="str">
        <f t="shared" si="11"/>
        <v>"1,375"</v>
      </c>
      <c r="Q89" s="11">
        <v>16</v>
      </c>
      <c r="R89" s="19">
        <v>52</v>
      </c>
      <c r="T89" s="9"/>
      <c r="V89" s="9"/>
      <c r="W89" s="9"/>
      <c r="Z89" s="11"/>
      <c r="AA89" s="11"/>
      <c r="AB89" s="11"/>
      <c r="AC89" s="11"/>
      <c r="AD89" s="11"/>
      <c r="AE89" s="19"/>
      <c r="AF89" s="11"/>
      <c r="AG89" s="11"/>
    </row>
    <row r="90" spans="1:33" ht="30" x14ac:dyDescent="0.25">
      <c r="A90" s="11">
        <v>1.851</v>
      </c>
      <c r="B90" s="11">
        <v>6.0730000000000004</v>
      </c>
      <c r="C90" s="9" t="s">
        <v>1394</v>
      </c>
      <c r="D90" t="s">
        <v>1203</v>
      </c>
      <c r="G90" s="9">
        <v>88</v>
      </c>
      <c r="H90" t="s">
        <v>1394</v>
      </c>
      <c r="I90" s="9" t="s">
        <v>1247</v>
      </c>
      <c r="J90" s="11" t="str">
        <f t="shared" si="8"/>
        <v>"Engstlensee"</v>
      </c>
      <c r="K90" s="11" t="str">
        <f t="shared" si="9"/>
        <v>"Berne"</v>
      </c>
      <c r="L90" t="s">
        <v>1169</v>
      </c>
      <c r="M90" s="11" t="s">
        <v>1395</v>
      </c>
      <c r="N90" s="11" t="s">
        <v>1396</v>
      </c>
      <c r="O90" s="11" t="str">
        <f t="shared" si="10"/>
        <v>"1,851"</v>
      </c>
      <c r="P90" s="11" t="str">
        <f t="shared" si="11"/>
        <v>"6,073"</v>
      </c>
      <c r="Q90" s="11">
        <v>49</v>
      </c>
      <c r="R90" s="19">
        <v>161</v>
      </c>
      <c r="T90" s="9"/>
      <c r="V90" s="9"/>
      <c r="W90" s="9"/>
      <c r="Z90" s="11"/>
      <c r="AA90" s="13"/>
      <c r="AB90" s="11"/>
      <c r="AC90" s="11"/>
      <c r="AD90" s="11"/>
      <c r="AE90" s="19"/>
      <c r="AF90" s="11"/>
      <c r="AG90" s="11"/>
    </row>
    <row r="91" spans="1:33" ht="30" x14ac:dyDescent="0.25">
      <c r="A91" s="11">
        <v>1.04</v>
      </c>
      <c r="B91" s="11">
        <v>3.41</v>
      </c>
      <c r="C91" s="9" t="s">
        <v>1397</v>
      </c>
      <c r="D91" t="s">
        <v>1398</v>
      </c>
      <c r="G91" s="9">
        <v>89</v>
      </c>
      <c r="H91" t="s">
        <v>1397</v>
      </c>
      <c r="I91" s="9" t="s">
        <v>1247</v>
      </c>
      <c r="J91" s="11" t="str">
        <f t="shared" si="8"/>
        <v>"Lac des Taillères"</v>
      </c>
      <c r="K91" s="11" t="str">
        <f t="shared" si="9"/>
        <v>"Neuchâtel"</v>
      </c>
      <c r="L91" t="s">
        <v>1169</v>
      </c>
      <c r="M91" s="11" t="s">
        <v>1395</v>
      </c>
      <c r="N91" s="11" t="s">
        <v>1396</v>
      </c>
      <c r="O91" s="11" t="str">
        <f t="shared" si="10"/>
        <v>"1,04"</v>
      </c>
      <c r="P91" s="11" t="str">
        <f t="shared" si="11"/>
        <v>"3,41"</v>
      </c>
      <c r="Q91" s="11">
        <v>7</v>
      </c>
      <c r="R91" s="19">
        <v>23</v>
      </c>
      <c r="T91" s="9"/>
      <c r="V91" s="9"/>
      <c r="W91" s="9"/>
      <c r="Z91" s="11"/>
      <c r="AA91" s="11"/>
      <c r="AB91" s="11"/>
      <c r="AC91" s="11"/>
      <c r="AD91" s="11"/>
      <c r="AE91" s="19"/>
      <c r="AF91" s="11"/>
      <c r="AG91" s="11"/>
    </row>
    <row r="92" spans="1:33" ht="30" x14ac:dyDescent="0.25">
      <c r="A92" s="11">
        <v>1.046</v>
      </c>
      <c r="B92" s="11">
        <v>3.4319999999999999</v>
      </c>
      <c r="C92" s="9" t="s">
        <v>1399</v>
      </c>
      <c r="D92" t="s">
        <v>1245</v>
      </c>
      <c r="G92" s="9">
        <v>90</v>
      </c>
      <c r="H92" t="s">
        <v>1399</v>
      </c>
      <c r="I92" s="9" t="s">
        <v>1159</v>
      </c>
      <c r="J92" s="11" t="str">
        <f t="shared" si="8"/>
        <v>"Schwarzsee"</v>
      </c>
      <c r="K92" s="11" t="str">
        <f t="shared" si="9"/>
        <v>"Fribourg"</v>
      </c>
      <c r="L92" t="s">
        <v>1169</v>
      </c>
      <c r="M92" s="11" t="s">
        <v>1400</v>
      </c>
      <c r="N92" s="11" t="s">
        <v>1401</v>
      </c>
      <c r="O92" s="11" t="str">
        <f t="shared" si="10"/>
        <v>"1,046"</v>
      </c>
      <c r="P92" s="11" t="str">
        <f t="shared" si="11"/>
        <v>"3,432"</v>
      </c>
      <c r="Q92" s="11">
        <v>10</v>
      </c>
      <c r="R92" s="19">
        <v>33</v>
      </c>
      <c r="T92" s="9"/>
      <c r="V92" s="9"/>
      <c r="W92" s="9"/>
      <c r="Z92" s="11"/>
      <c r="AA92" s="11"/>
      <c r="AB92" s="11"/>
      <c r="AC92" s="11"/>
      <c r="AD92" s="11"/>
      <c r="AE92" s="19"/>
      <c r="AF92" s="11"/>
      <c r="AG92" s="11"/>
    </row>
    <row r="93" spans="1:33" ht="30" x14ac:dyDescent="0.25">
      <c r="A93" s="11">
        <v>2.2559999999999998</v>
      </c>
      <c r="B93" s="11">
        <v>7.4020000000000001</v>
      </c>
      <c r="C93" s="9" t="s">
        <v>1402</v>
      </c>
      <c r="D93" t="s">
        <v>1298</v>
      </c>
      <c r="G93" s="9">
        <v>91</v>
      </c>
      <c r="H93" t="s">
        <v>1402</v>
      </c>
      <c r="I93" s="9" t="s">
        <v>1247</v>
      </c>
      <c r="J93" s="11" t="str">
        <f t="shared" si="8"/>
        <v>"Lago della Sella"</v>
      </c>
      <c r="K93" s="11" t="str">
        <f t="shared" si="9"/>
        <v>"Ticino"</v>
      </c>
      <c r="L93" t="s">
        <v>1180</v>
      </c>
      <c r="M93" s="11" t="s">
        <v>1400</v>
      </c>
      <c r="N93" s="11" t="s">
        <v>1401</v>
      </c>
      <c r="O93" s="11" t="str">
        <f t="shared" si="10"/>
        <v>"2,256"</v>
      </c>
      <c r="P93" s="11" t="str">
        <f t="shared" si="11"/>
        <v>"7,402"</v>
      </c>
      <c r="Q93" s="11">
        <v>30</v>
      </c>
      <c r="R93" s="19">
        <v>98</v>
      </c>
      <c r="T93" s="9"/>
      <c r="V93" s="9"/>
      <c r="W93" s="9"/>
      <c r="Z93" s="11"/>
      <c r="AA93" s="11"/>
      <c r="AB93" s="11"/>
      <c r="AC93" s="11"/>
      <c r="AD93" s="11"/>
      <c r="AE93" s="19"/>
      <c r="AF93" s="11"/>
      <c r="AG93" s="11"/>
    </row>
    <row r="94" spans="1:33" x14ac:dyDescent="0.25">
      <c r="A94" s="11">
        <v>1.542</v>
      </c>
      <c r="B94" s="11">
        <v>5.0590000000000002</v>
      </c>
      <c r="C94" s="9" t="s">
        <v>1403</v>
      </c>
      <c r="D94" t="s">
        <v>1203</v>
      </c>
      <c r="G94" s="9">
        <v>92</v>
      </c>
      <c r="H94" t="s">
        <v>1403</v>
      </c>
      <c r="I94" s="9" t="s">
        <v>1247</v>
      </c>
      <c r="J94" s="11" t="str">
        <f t="shared" si="8"/>
        <v>"Arnensee"</v>
      </c>
      <c r="K94" s="11" t="str">
        <f t="shared" si="9"/>
        <v>"Berne"</v>
      </c>
      <c r="L94" t="s">
        <v>1169</v>
      </c>
      <c r="M94" s="11" t="s">
        <v>1400</v>
      </c>
      <c r="N94" s="11" t="s">
        <v>1401</v>
      </c>
      <c r="O94" s="11" t="str">
        <f t="shared" si="10"/>
        <v>"1,542"</v>
      </c>
      <c r="P94" s="11" t="str">
        <f t="shared" si="11"/>
        <v>"5,059"</v>
      </c>
      <c r="Q94" s="11">
        <v>50</v>
      </c>
      <c r="R94" s="19">
        <v>160</v>
      </c>
      <c r="T94" s="9"/>
      <c r="V94" s="9"/>
      <c r="W94" s="9"/>
      <c r="Z94" s="11"/>
      <c r="AA94" s="11"/>
      <c r="AB94" s="11"/>
      <c r="AC94" s="11"/>
      <c r="AD94" s="11"/>
      <c r="AE94" s="19"/>
      <c r="AF94" s="11"/>
      <c r="AG94" s="11"/>
    </row>
    <row r="95" spans="1:33" ht="30" x14ac:dyDescent="0.25">
      <c r="A95" s="11">
        <v>2.16</v>
      </c>
      <c r="B95" s="11">
        <v>7.09</v>
      </c>
      <c r="C95" s="9" t="s">
        <v>1405</v>
      </c>
      <c r="D95" t="s">
        <v>1271</v>
      </c>
      <c r="G95" s="9">
        <v>93</v>
      </c>
      <c r="H95" t="s">
        <v>1404</v>
      </c>
      <c r="I95" s="9" t="s">
        <v>1159</v>
      </c>
      <c r="J95" s="11" t="str">
        <f t="shared" si="8"/>
        <v>"Laj da Vadret"</v>
      </c>
      <c r="K95" s="11" t="str">
        <f t="shared" si="9"/>
        <v>"Grisons"</v>
      </c>
      <c r="L95" t="s">
        <v>1264</v>
      </c>
      <c r="M95" s="11" t="s">
        <v>1327</v>
      </c>
      <c r="N95" s="11" t="s">
        <v>1401</v>
      </c>
      <c r="O95" s="11" t="str">
        <f t="shared" si="10"/>
        <v>"2,16"</v>
      </c>
      <c r="P95" s="11" t="str">
        <f t="shared" si="11"/>
        <v>"7,09"</v>
      </c>
      <c r="Q95" s="9"/>
      <c r="T95" s="9"/>
      <c r="V95" s="9"/>
      <c r="W95" s="9"/>
      <c r="Z95" s="11"/>
      <c r="AA95" s="11"/>
      <c r="AB95" s="11"/>
      <c r="AC95" s="11"/>
      <c r="AD95" s="11"/>
      <c r="AE95" s="19"/>
      <c r="AF95" s="11"/>
      <c r="AG95" s="11"/>
    </row>
    <row r="96" spans="1:33" x14ac:dyDescent="0.25">
      <c r="A96" s="11">
        <v>2.4460000000000002</v>
      </c>
      <c r="B96" s="11">
        <v>8.0250000000000004</v>
      </c>
      <c r="C96" s="9" t="s">
        <v>1406</v>
      </c>
      <c r="D96" t="s">
        <v>1278</v>
      </c>
      <c r="G96" s="9">
        <v>94</v>
      </c>
      <c r="H96" t="s">
        <v>1406</v>
      </c>
      <c r="I96" s="9" t="s">
        <v>1247</v>
      </c>
      <c r="J96" s="11" t="str">
        <f t="shared" si="8"/>
        <v>"Muttsee"</v>
      </c>
      <c r="K96" s="11" t="str">
        <f t="shared" si="9"/>
        <v>"Glarus"</v>
      </c>
      <c r="L96" t="s">
        <v>1169</v>
      </c>
      <c r="M96" s="11" t="s">
        <v>1407</v>
      </c>
      <c r="N96" s="11" t="s">
        <v>1408</v>
      </c>
      <c r="O96" s="11" t="str">
        <f t="shared" si="10"/>
        <v>"2,446"</v>
      </c>
      <c r="P96" s="11" t="str">
        <f t="shared" si="11"/>
        <v>"8,025"</v>
      </c>
      <c r="Q96" s="11">
        <v>68</v>
      </c>
      <c r="R96" s="19">
        <v>223</v>
      </c>
      <c r="T96" s="9"/>
      <c r="V96" s="9"/>
      <c r="W96" s="9"/>
      <c r="Z96" s="11"/>
      <c r="AA96" s="11"/>
      <c r="AB96" s="11"/>
      <c r="AC96" s="11"/>
      <c r="AD96" s="9"/>
      <c r="AE96" s="20"/>
      <c r="AF96" s="11"/>
      <c r="AG96" s="11"/>
    </row>
    <row r="97" spans="1:33" ht="45" x14ac:dyDescent="0.25">
      <c r="A97" s="11">
        <v>606</v>
      </c>
      <c r="B97" s="11">
        <v>1.988</v>
      </c>
      <c r="C97" s="9" t="s">
        <v>1409</v>
      </c>
      <c r="D97" s="9" t="s">
        <v>1410</v>
      </c>
      <c r="E97" s="9"/>
      <c r="G97" s="9">
        <v>95</v>
      </c>
      <c r="H97" t="s">
        <v>1409</v>
      </c>
      <c r="I97" s="9" t="s">
        <v>1237</v>
      </c>
      <c r="J97" s="11" t="str">
        <f t="shared" si="8"/>
        <v>"Lac de Biaufond"</v>
      </c>
      <c r="K97" s="11" t="str">
        <f t="shared" si="9"/>
        <v>"Jura, Neuchâtel, France"</v>
      </c>
      <c r="L97" t="s">
        <v>1162</v>
      </c>
      <c r="M97" s="11" t="s">
        <v>1411</v>
      </c>
      <c r="N97" s="11" t="s">
        <v>1412</v>
      </c>
      <c r="O97" s="11" t="str">
        <f t="shared" si="10"/>
        <v>"606"</v>
      </c>
      <c r="P97" s="11" t="str">
        <f t="shared" si="11"/>
        <v>"1,988"</v>
      </c>
      <c r="Q97" s="11">
        <v>10</v>
      </c>
      <c r="R97" s="19">
        <v>33</v>
      </c>
      <c r="T97" s="9"/>
      <c r="V97" s="9"/>
      <c r="W97" s="9"/>
      <c r="Z97" s="11"/>
      <c r="AA97" s="11"/>
      <c r="AB97" s="11"/>
      <c r="AC97" s="11"/>
      <c r="AD97" s="11"/>
      <c r="AE97" s="19"/>
      <c r="AF97" s="9"/>
    </row>
    <row r="98" spans="1:33" ht="30" x14ac:dyDescent="0.25">
      <c r="A98" s="11">
        <v>1.851</v>
      </c>
      <c r="B98" s="11">
        <v>6.0730000000000004</v>
      </c>
      <c r="C98" s="9" t="s">
        <v>1413</v>
      </c>
      <c r="D98" t="s">
        <v>1298</v>
      </c>
      <c r="G98" s="9">
        <v>96</v>
      </c>
      <c r="H98" t="s">
        <v>1413</v>
      </c>
      <c r="I98" s="9" t="s">
        <v>1247</v>
      </c>
      <c r="J98" s="11" t="str">
        <f t="shared" ref="J98:J105" si="12" xml:space="preserve"> """" &amp; C98 &amp; """"</f>
        <v>"Lago Tremorgio"</v>
      </c>
      <c r="K98" s="11" t="str">
        <f t="shared" ref="K98:K105" si="13" xml:space="preserve"> """" &amp; D98 &amp; """"</f>
        <v>"Ticino"</v>
      </c>
      <c r="L98" t="s">
        <v>1180</v>
      </c>
      <c r="M98" s="11" t="s">
        <v>1411</v>
      </c>
      <c r="N98" s="11" t="s">
        <v>1412</v>
      </c>
      <c r="O98" s="11" t="str">
        <f t="shared" ref="O98:O105" si="14" xml:space="preserve"> """" &amp; A98 &amp; """"</f>
        <v>"1,851"</v>
      </c>
      <c r="P98" s="11" t="str">
        <f t="shared" ref="P98:P105" si="15" xml:space="preserve"> """" &amp; B98 &amp; """"</f>
        <v>"6,073"</v>
      </c>
      <c r="Q98" s="11">
        <v>57</v>
      </c>
      <c r="R98" s="19">
        <v>187</v>
      </c>
      <c r="T98" s="9"/>
      <c r="V98" s="9"/>
      <c r="W98" s="9"/>
      <c r="X98" s="9"/>
      <c r="Z98" s="11"/>
      <c r="AA98" s="11"/>
      <c r="AB98" s="11"/>
      <c r="AC98" s="11"/>
      <c r="AD98" s="11"/>
      <c r="AE98" s="19"/>
      <c r="AF98" s="11"/>
      <c r="AG98" s="11"/>
    </row>
    <row r="99" spans="1:33" ht="60" x14ac:dyDescent="0.25">
      <c r="A99" s="11">
        <v>1.45</v>
      </c>
      <c r="B99" s="11">
        <v>4.76</v>
      </c>
      <c r="C99" s="9" t="s">
        <v>1415</v>
      </c>
      <c r="D99" t="s">
        <v>1271</v>
      </c>
      <c r="G99" s="9">
        <v>97</v>
      </c>
      <c r="H99" t="s">
        <v>1414</v>
      </c>
      <c r="I99" s="9" t="s">
        <v>1237</v>
      </c>
      <c r="J99" s="11" t="str">
        <f t="shared" si="12"/>
        <v>"Lag da Pigniu, Panixersee"</v>
      </c>
      <c r="K99" s="11" t="str">
        <f t="shared" si="13"/>
        <v>"Grisons"</v>
      </c>
      <c r="L99" t="s">
        <v>1169</v>
      </c>
      <c r="M99" s="11" t="s">
        <v>1331</v>
      </c>
      <c r="N99" s="11" t="s">
        <v>1412</v>
      </c>
      <c r="O99" s="11" t="str">
        <f t="shared" si="14"/>
        <v>"1,45"</v>
      </c>
      <c r="P99" s="11" t="str">
        <f t="shared" si="15"/>
        <v>"4,76"</v>
      </c>
      <c r="Q99" s="11">
        <v>42</v>
      </c>
      <c r="R99" s="19">
        <v>138</v>
      </c>
      <c r="T99" s="9"/>
      <c r="V99" s="9"/>
      <c r="W99" s="9"/>
      <c r="Z99" s="11"/>
      <c r="AA99" s="11"/>
      <c r="AB99" s="11"/>
      <c r="AC99" s="11"/>
      <c r="AD99" s="11"/>
      <c r="AE99" s="19"/>
      <c r="AF99" s="11"/>
      <c r="AG99" s="11"/>
    </row>
    <row r="100" spans="1:33" ht="30" x14ac:dyDescent="0.25">
      <c r="A100" s="11">
        <v>641</v>
      </c>
      <c r="B100" s="11">
        <v>2.1030000000000002</v>
      </c>
      <c r="C100" s="9" t="s">
        <v>1416</v>
      </c>
      <c r="D100" t="s">
        <v>1203</v>
      </c>
      <c r="G100" s="9">
        <v>98</v>
      </c>
      <c r="H100" t="s">
        <v>1416</v>
      </c>
      <c r="I100" s="9" t="s">
        <v>1159</v>
      </c>
      <c r="J100" s="11" t="str">
        <f t="shared" si="12"/>
        <v>"Amsoldingersee"</v>
      </c>
      <c r="K100" s="11" t="str">
        <f t="shared" si="13"/>
        <v>"Berne"</v>
      </c>
      <c r="L100" t="s">
        <v>1169</v>
      </c>
      <c r="M100" s="11" t="s">
        <v>1417</v>
      </c>
      <c r="N100" s="11" t="s">
        <v>1412</v>
      </c>
      <c r="O100" s="11" t="str">
        <f t="shared" si="14"/>
        <v>"641"</v>
      </c>
      <c r="P100" s="11" t="str">
        <f t="shared" si="15"/>
        <v>"2,103"</v>
      </c>
      <c r="Q100" s="11">
        <v>14</v>
      </c>
      <c r="R100" s="19">
        <v>46</v>
      </c>
      <c r="T100" s="9"/>
      <c r="V100" s="9"/>
      <c r="W100" s="9"/>
      <c r="Z100" s="11"/>
      <c r="AA100" s="11"/>
      <c r="AB100" s="11"/>
      <c r="AC100" s="11"/>
      <c r="AD100" s="11"/>
      <c r="AE100" s="19"/>
      <c r="AF100" s="11"/>
      <c r="AG100" s="11"/>
    </row>
    <row r="101" spans="1:33" ht="30" x14ac:dyDescent="0.25">
      <c r="A101" s="11">
        <v>1.6040000000000001</v>
      </c>
      <c r="B101" s="11">
        <v>5.2619999999999996</v>
      </c>
      <c r="C101" s="9" t="s">
        <v>1418</v>
      </c>
      <c r="D101" t="s">
        <v>1271</v>
      </c>
      <c r="G101" s="9">
        <v>99</v>
      </c>
      <c r="H101" t="s">
        <v>1418</v>
      </c>
      <c r="I101" s="9" t="s">
        <v>1237</v>
      </c>
      <c r="J101" s="11" t="str">
        <f t="shared" si="12"/>
        <v>"Lago d'Isola"</v>
      </c>
      <c r="K101" s="11" t="str">
        <f t="shared" si="13"/>
        <v>"Grisons"</v>
      </c>
      <c r="L101" t="s">
        <v>1180</v>
      </c>
      <c r="M101" s="11" t="s">
        <v>1419</v>
      </c>
      <c r="N101" s="11" t="s">
        <v>1420</v>
      </c>
      <c r="O101" s="11" t="str">
        <f t="shared" si="14"/>
        <v>"1,604"</v>
      </c>
      <c r="P101" s="11" t="str">
        <f t="shared" si="15"/>
        <v>"5,262"</v>
      </c>
      <c r="Q101" s="11">
        <v>39</v>
      </c>
      <c r="R101" s="19">
        <v>128</v>
      </c>
      <c r="T101" s="9"/>
      <c r="V101" s="9"/>
      <c r="W101" s="9"/>
      <c r="Z101" s="11"/>
      <c r="AA101" s="11"/>
      <c r="AB101" s="11"/>
      <c r="AC101" s="11"/>
      <c r="AD101" s="11"/>
      <c r="AE101" s="19"/>
      <c r="AF101" s="11"/>
      <c r="AG101" s="11"/>
    </row>
    <row r="102" spans="1:33" ht="30" x14ac:dyDescent="0.25">
      <c r="A102" s="11">
        <v>1.63</v>
      </c>
      <c r="B102" s="11">
        <v>5.35</v>
      </c>
      <c r="C102" s="9" t="s">
        <v>1421</v>
      </c>
      <c r="D102" t="s">
        <v>1271</v>
      </c>
      <c r="G102" s="9">
        <v>100</v>
      </c>
      <c r="H102" t="s">
        <v>1421</v>
      </c>
      <c r="I102" s="9" t="s">
        <v>1237</v>
      </c>
      <c r="J102" s="11" t="str">
        <f t="shared" si="12"/>
        <v>"Lai da Ova Spin"</v>
      </c>
      <c r="K102" s="11" t="str">
        <f t="shared" si="13"/>
        <v>"Grisons"</v>
      </c>
      <c r="L102" t="s">
        <v>1264</v>
      </c>
      <c r="M102" s="11" t="s">
        <v>1334</v>
      </c>
      <c r="N102" s="11" t="s">
        <v>1420</v>
      </c>
      <c r="O102" s="11" t="str">
        <f t="shared" si="14"/>
        <v>"1,63"</v>
      </c>
      <c r="P102" s="11" t="str">
        <f t="shared" si="15"/>
        <v>"5,35"</v>
      </c>
      <c r="Q102" s="11">
        <v>64</v>
      </c>
      <c r="R102" s="19">
        <v>210</v>
      </c>
      <c r="T102" s="9"/>
      <c r="V102" s="9"/>
      <c r="W102" s="9"/>
      <c r="Z102" s="11"/>
      <c r="AA102" s="11"/>
      <c r="AB102" s="11"/>
      <c r="AC102" s="11"/>
      <c r="AD102" s="11"/>
      <c r="AE102" s="19"/>
      <c r="AF102" s="11"/>
      <c r="AG102" s="11"/>
    </row>
    <row r="103" spans="1:33" ht="30" x14ac:dyDescent="0.25">
      <c r="A103" s="11">
        <v>434</v>
      </c>
      <c r="B103" s="11">
        <v>1.4239999999999999</v>
      </c>
      <c r="C103" s="9" t="s">
        <v>1422</v>
      </c>
      <c r="D103" t="s">
        <v>1423</v>
      </c>
      <c r="G103" s="9">
        <v>101</v>
      </c>
      <c r="H103" t="s">
        <v>1422</v>
      </c>
      <c r="I103" s="9" t="s">
        <v>1159</v>
      </c>
      <c r="J103" s="11" t="str">
        <f t="shared" si="12"/>
        <v>"Hüttwilersee"</v>
      </c>
      <c r="K103" s="11" t="str">
        <f t="shared" si="13"/>
        <v>"Thurgau"</v>
      </c>
      <c r="L103" t="s">
        <v>1169</v>
      </c>
      <c r="M103" s="11" t="s">
        <v>1334</v>
      </c>
      <c r="N103" s="11" t="s">
        <v>1420</v>
      </c>
      <c r="O103" s="11" t="str">
        <f t="shared" si="14"/>
        <v>"434"</v>
      </c>
      <c r="P103" s="11" t="str">
        <f t="shared" si="15"/>
        <v>"1,424"</v>
      </c>
      <c r="Q103" s="11">
        <v>15</v>
      </c>
      <c r="R103" s="19">
        <v>49</v>
      </c>
      <c r="T103" s="9"/>
      <c r="V103" s="9"/>
      <c r="W103" s="9"/>
      <c r="Z103" s="11"/>
      <c r="AA103" s="11"/>
      <c r="AB103" s="11"/>
      <c r="AC103" s="11"/>
      <c r="AD103" s="11"/>
      <c r="AE103" s="19"/>
      <c r="AF103" s="11"/>
      <c r="AG103" s="11"/>
    </row>
    <row r="104" spans="1:33" ht="30" x14ac:dyDescent="0.25">
      <c r="A104" s="11">
        <v>1.976</v>
      </c>
      <c r="B104" s="11">
        <v>6.4829999999999997</v>
      </c>
      <c r="C104" s="9" t="s">
        <v>1424</v>
      </c>
      <c r="D104" t="s">
        <v>1253</v>
      </c>
      <c r="G104" s="9">
        <v>102</v>
      </c>
      <c r="H104" t="s">
        <v>1424</v>
      </c>
      <c r="I104" s="9" t="s">
        <v>1247</v>
      </c>
      <c r="J104" s="11" t="str">
        <f t="shared" si="12"/>
        <v>"Tannensee"</v>
      </c>
      <c r="K104" s="11" t="str">
        <f t="shared" si="13"/>
        <v>"Obwalden"</v>
      </c>
      <c r="L104" t="s">
        <v>1169</v>
      </c>
      <c r="M104" s="11" t="s">
        <v>1425</v>
      </c>
      <c r="N104" s="11" t="s">
        <v>1426</v>
      </c>
      <c r="O104" s="11" t="str">
        <f t="shared" si="14"/>
        <v>"1,976"</v>
      </c>
      <c r="P104" s="11" t="str">
        <f t="shared" si="15"/>
        <v>"6,483"</v>
      </c>
      <c r="Q104" s="11">
        <v>21</v>
      </c>
      <c r="R104" s="19">
        <v>69</v>
      </c>
      <c r="T104" s="9"/>
      <c r="V104" s="9"/>
      <c r="W104" s="9"/>
      <c r="Z104" s="11"/>
      <c r="AA104" s="11"/>
      <c r="AB104" s="11"/>
      <c r="AC104" s="11"/>
      <c r="AD104" s="11"/>
      <c r="AE104" s="19"/>
      <c r="AF104" s="11"/>
      <c r="AG104" s="11"/>
    </row>
    <row r="105" spans="1:33" x14ac:dyDescent="0.25">
      <c r="A105" s="11">
        <v>521</v>
      </c>
      <c r="B105" s="11">
        <v>1.7090000000000001</v>
      </c>
      <c r="C105" s="9" t="s">
        <v>1427</v>
      </c>
      <c r="D105" t="s">
        <v>1203</v>
      </c>
      <c r="G105" s="9">
        <v>103</v>
      </c>
      <c r="H105" t="s">
        <v>1427</v>
      </c>
      <c r="I105" s="9" t="s">
        <v>1159</v>
      </c>
      <c r="J105" s="11" t="str">
        <f t="shared" si="12"/>
        <v>"Moossee"</v>
      </c>
      <c r="K105" s="11" t="str">
        <f t="shared" si="13"/>
        <v>"Berne"</v>
      </c>
      <c r="L105" t="s">
        <v>1169</v>
      </c>
      <c r="M105" s="11" t="s">
        <v>1428</v>
      </c>
      <c r="N105" s="11" t="s">
        <v>1429</v>
      </c>
      <c r="O105" s="11" t="str">
        <f t="shared" si="14"/>
        <v>"521"</v>
      </c>
      <c r="P105" s="11" t="str">
        <f t="shared" si="15"/>
        <v>"1,709"</v>
      </c>
      <c r="Q105" s="11">
        <v>21</v>
      </c>
      <c r="R105" s="19">
        <v>69</v>
      </c>
      <c r="T105" s="9"/>
      <c r="V105" s="9"/>
      <c r="W105" s="9"/>
      <c r="Z105" s="11"/>
      <c r="AA105" s="11"/>
      <c r="AB105" s="11"/>
      <c r="AC105" s="11"/>
      <c r="AD105" s="11"/>
      <c r="AE105" s="19"/>
      <c r="AF105" s="11"/>
      <c r="AG105" s="11"/>
    </row>
    <row r="106" spans="1:33" x14ac:dyDescent="0.25">
      <c r="T106" s="9"/>
      <c r="V106" s="9"/>
      <c r="W106" s="9"/>
      <c r="Z106" s="11"/>
      <c r="AA106" s="11"/>
      <c r="AB106" s="11"/>
      <c r="AC106" s="11"/>
      <c r="AD106" s="11"/>
      <c r="AE106" s="19"/>
      <c r="AF106" s="11"/>
      <c r="AG106" s="11"/>
    </row>
    <row r="107" spans="1:33" x14ac:dyDescent="0.25">
      <c r="V107" s="9"/>
      <c r="W107" s="10"/>
      <c r="X107" s="9"/>
      <c r="Y107" s="9"/>
      <c r="Z107" s="10"/>
      <c r="AA107" s="10"/>
      <c r="AB107" s="11"/>
      <c r="AC107" s="11"/>
      <c r="AD107" s="11"/>
      <c r="AE107" s="11"/>
      <c r="AF107" s="11"/>
      <c r="AG107" s="11"/>
    </row>
  </sheetData>
  <mergeCells count="22">
    <mergeCell ref="M55:M56"/>
    <mergeCell ref="N55:N56"/>
    <mergeCell ref="A55:A56"/>
    <mergeCell ref="G55:G56"/>
    <mergeCell ref="H55:H56"/>
    <mergeCell ref="I55:I56"/>
    <mergeCell ref="D55:D56"/>
    <mergeCell ref="L55:L56"/>
    <mergeCell ref="AF2:AG2"/>
    <mergeCell ref="Z56:Z57"/>
    <mergeCell ref="AA56:AA57"/>
    <mergeCell ref="Q55:Q56"/>
    <mergeCell ref="R55:R56"/>
    <mergeCell ref="AD56:AD57"/>
    <mergeCell ref="AE56:AE57"/>
    <mergeCell ref="AF57:AF58"/>
    <mergeCell ref="AG57:AG58"/>
    <mergeCell ref="T56:T57"/>
    <mergeCell ref="U56:U57"/>
    <mergeCell ref="V56:V57"/>
    <mergeCell ref="X56:X57"/>
    <mergeCell ref="Y56:Y57"/>
  </mergeCell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E6"/>
  <sheetViews>
    <sheetView workbookViewId="0">
      <selection activeCell="S5" sqref="S5"/>
    </sheetView>
  </sheetViews>
  <sheetFormatPr baseColWidth="10" defaultRowHeight="15" x14ac:dyDescent="0.25"/>
  <sheetData>
    <row r="1" spans="1:5" ht="75" x14ac:dyDescent="0.25">
      <c r="A1" s="8"/>
      <c r="B1" s="15" t="s">
        <v>1441</v>
      </c>
      <c r="C1" s="15" t="s">
        <v>1442</v>
      </c>
      <c r="D1" s="15" t="s">
        <v>1443</v>
      </c>
      <c r="E1" s="15" t="s">
        <v>1444</v>
      </c>
    </row>
    <row r="2" spans="1:5" x14ac:dyDescent="0.25">
      <c r="A2" s="8" t="s">
        <v>1437</v>
      </c>
      <c r="B2" s="9">
        <v>563</v>
      </c>
      <c r="C2" s="9">
        <v>406</v>
      </c>
      <c r="D2" s="9">
        <v>82.1</v>
      </c>
      <c r="E2" s="9">
        <v>28.7</v>
      </c>
    </row>
    <row r="3" spans="1:5" x14ac:dyDescent="0.25">
      <c r="A3" s="8" t="s">
        <v>1438</v>
      </c>
      <c r="B3" s="9">
        <v>494</v>
      </c>
      <c r="C3" s="9">
        <v>282</v>
      </c>
      <c r="D3" s="9">
        <v>57.8</v>
      </c>
      <c r="E3" s="9">
        <v>0</v>
      </c>
    </row>
    <row r="4" spans="1:5" x14ac:dyDescent="0.25">
      <c r="A4" s="8" t="s">
        <v>1439</v>
      </c>
      <c r="B4" s="9">
        <v>332</v>
      </c>
      <c r="C4" s="9">
        <v>229</v>
      </c>
      <c r="D4" s="9">
        <v>59.6</v>
      </c>
      <c r="E4" s="9">
        <v>36</v>
      </c>
    </row>
    <row r="5" spans="1:5" x14ac:dyDescent="0.25">
      <c r="A5" s="8" t="s">
        <v>1440</v>
      </c>
      <c r="B5" s="9">
        <v>388</v>
      </c>
      <c r="C5" s="9">
        <v>64</v>
      </c>
      <c r="D5" s="9">
        <v>25.7</v>
      </c>
      <c r="E5" s="9">
        <v>12.8</v>
      </c>
    </row>
    <row r="6" spans="1:5" x14ac:dyDescent="0.25">
      <c r="A6" s="8" t="s">
        <v>174</v>
      </c>
      <c r="B6" s="9">
        <v>311</v>
      </c>
      <c r="C6" s="9">
        <v>244</v>
      </c>
      <c r="D6" s="9">
        <v>18.96</v>
      </c>
      <c r="E6" s="9">
        <v>10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D15"/>
  <sheetViews>
    <sheetView workbookViewId="0">
      <selection activeCell="D15" sqref="A1:D15"/>
    </sheetView>
  </sheetViews>
  <sheetFormatPr baseColWidth="10" defaultRowHeight="15" x14ac:dyDescent="0.25"/>
  <cols>
    <col min="2" max="2" width="15.42578125" customWidth="1"/>
    <col min="3" max="3" width="21.28515625" customWidth="1"/>
    <col min="4" max="4" width="19" customWidth="1"/>
  </cols>
  <sheetData>
    <row r="1" spans="1:4" ht="30" x14ac:dyDescent="0.25">
      <c r="A1" s="8" t="s">
        <v>31</v>
      </c>
      <c r="B1" s="14" t="s">
        <v>1153</v>
      </c>
      <c r="C1" s="14" t="s">
        <v>1445</v>
      </c>
      <c r="D1" s="8" t="s">
        <v>1442</v>
      </c>
    </row>
    <row r="2" spans="1:4" x14ac:dyDescent="0.25">
      <c r="A2" s="9">
        <v>1</v>
      </c>
      <c r="B2" s="9" t="s">
        <v>1446</v>
      </c>
      <c r="C2" s="9" t="s">
        <v>1447</v>
      </c>
      <c r="D2" s="9" t="s">
        <v>1448</v>
      </c>
    </row>
    <row r="3" spans="1:4" x14ac:dyDescent="0.25">
      <c r="A3" s="9">
        <v>2</v>
      </c>
      <c r="B3" s="9" t="s">
        <v>1449</v>
      </c>
      <c r="C3" s="9" t="s">
        <v>1450</v>
      </c>
      <c r="D3" s="9" t="s">
        <v>1451</v>
      </c>
    </row>
    <row r="4" spans="1:4" x14ac:dyDescent="0.25">
      <c r="A4" s="9">
        <v>3</v>
      </c>
      <c r="B4" s="9" t="s">
        <v>1452</v>
      </c>
      <c r="C4" s="9" t="s">
        <v>1453</v>
      </c>
      <c r="D4" s="9" t="s">
        <v>1454</v>
      </c>
    </row>
    <row r="5" spans="1:4" x14ac:dyDescent="0.25">
      <c r="A5" s="9">
        <v>4</v>
      </c>
      <c r="B5" s="9" t="s">
        <v>1455</v>
      </c>
      <c r="C5" s="9" t="s">
        <v>1456</v>
      </c>
      <c r="D5" s="9" t="s">
        <v>1457</v>
      </c>
    </row>
    <row r="6" spans="1:4" x14ac:dyDescent="0.25">
      <c r="A6" s="9">
        <v>5</v>
      </c>
      <c r="B6" s="9" t="s">
        <v>1438</v>
      </c>
      <c r="C6" s="9" t="s">
        <v>1458</v>
      </c>
      <c r="D6" s="9" t="s">
        <v>1459</v>
      </c>
    </row>
    <row r="7" spans="1:4" x14ac:dyDescent="0.25">
      <c r="A7" s="9">
        <v>6</v>
      </c>
      <c r="B7" s="9" t="s">
        <v>1460</v>
      </c>
      <c r="C7" s="9" t="s">
        <v>1461</v>
      </c>
      <c r="D7" s="9" t="s">
        <v>1462</v>
      </c>
    </row>
    <row r="8" spans="1:4" x14ac:dyDescent="0.25">
      <c r="A8" s="9">
        <v>7</v>
      </c>
      <c r="B8" s="9" t="s">
        <v>1463</v>
      </c>
      <c r="C8" s="9" t="s">
        <v>1464</v>
      </c>
      <c r="D8" s="9" t="s">
        <v>1465</v>
      </c>
    </row>
    <row r="9" spans="1:4" x14ac:dyDescent="0.25">
      <c r="A9" s="9">
        <v>8</v>
      </c>
      <c r="B9" s="9" t="s">
        <v>1466</v>
      </c>
      <c r="C9" s="9" t="s">
        <v>1467</v>
      </c>
      <c r="D9" s="9" t="s">
        <v>1468</v>
      </c>
    </row>
    <row r="10" spans="1:4" x14ac:dyDescent="0.25">
      <c r="A10" s="9">
        <v>9</v>
      </c>
      <c r="B10" s="9" t="s">
        <v>1469</v>
      </c>
      <c r="C10" s="9" t="s">
        <v>1470</v>
      </c>
      <c r="D10" s="9" t="s">
        <v>1471</v>
      </c>
    </row>
    <row r="11" spans="1:4" x14ac:dyDescent="0.25">
      <c r="A11" s="9">
        <v>10</v>
      </c>
      <c r="B11" s="9" t="s">
        <v>1472</v>
      </c>
      <c r="C11" s="9" t="s">
        <v>1473</v>
      </c>
      <c r="D11" s="9">
        <v>64</v>
      </c>
    </row>
    <row r="12" spans="1:4" x14ac:dyDescent="0.25">
      <c r="A12" s="9">
        <v>11</v>
      </c>
      <c r="B12" s="9" t="s">
        <v>1474</v>
      </c>
      <c r="C12" s="9" t="s">
        <v>1475</v>
      </c>
      <c r="D12" s="9" t="s">
        <v>1476</v>
      </c>
    </row>
    <row r="13" spans="1:4" x14ac:dyDescent="0.25">
      <c r="A13" s="9">
        <v>13</v>
      </c>
      <c r="B13" s="9" t="s">
        <v>1477</v>
      </c>
      <c r="C13" s="9" t="s">
        <v>1478</v>
      </c>
      <c r="D13" s="9" t="s">
        <v>1479</v>
      </c>
    </row>
    <row r="14" spans="1:4" x14ac:dyDescent="0.25">
      <c r="A14" s="9">
        <v>22</v>
      </c>
      <c r="B14" s="9" t="s">
        <v>1480</v>
      </c>
      <c r="C14" s="9" t="s">
        <v>1481</v>
      </c>
      <c r="D14" s="9" t="s">
        <v>1482</v>
      </c>
    </row>
    <row r="15" spans="1:4" x14ac:dyDescent="0.25">
      <c r="A15" s="9">
        <v>29</v>
      </c>
      <c r="B15" s="9" t="s">
        <v>1483</v>
      </c>
      <c r="C15" s="9" t="s">
        <v>1484</v>
      </c>
      <c r="D15" s="9">
        <v>12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G101"/>
  <sheetViews>
    <sheetView topLeftCell="A63" workbookViewId="0">
      <selection activeCell="D1" sqref="D1:G101"/>
    </sheetView>
  </sheetViews>
  <sheetFormatPr baseColWidth="10" defaultRowHeight="15" x14ac:dyDescent="0.25"/>
  <sheetData>
    <row r="1" spans="1:7" x14ac:dyDescent="0.25">
      <c r="A1" t="s">
        <v>1485</v>
      </c>
      <c r="D1" t="s">
        <v>360</v>
      </c>
      <c r="E1" t="s">
        <v>17</v>
      </c>
      <c r="F1" t="s">
        <v>32</v>
      </c>
      <c r="G1" t="s">
        <v>1485</v>
      </c>
    </row>
    <row r="2" spans="1:7" x14ac:dyDescent="0.25">
      <c r="A2" t="s">
        <v>1489</v>
      </c>
      <c r="D2" t="s">
        <v>1486</v>
      </c>
      <c r="E2" t="s">
        <v>1487</v>
      </c>
      <c r="F2" t="s">
        <v>1488</v>
      </c>
      <c r="G2" t="str">
        <f t="shared" ref="G2:G33" si="0" xml:space="preserve"> """" &amp; A2 &amp; """"</f>
        <v>"9,720,260"</v>
      </c>
    </row>
    <row r="3" spans="1:7" x14ac:dyDescent="0.25">
      <c r="A3" t="s">
        <v>1491</v>
      </c>
      <c r="D3" t="s">
        <v>379</v>
      </c>
      <c r="E3" t="s">
        <v>326</v>
      </c>
      <c r="F3" t="s">
        <v>1490</v>
      </c>
      <c r="G3" t="str">
        <f t="shared" si="0"/>
        <v>"6,115,881"</v>
      </c>
    </row>
    <row r="4" spans="1:7" x14ac:dyDescent="0.25">
      <c r="A4" t="s">
        <v>1493</v>
      </c>
      <c r="D4" t="s">
        <v>368</v>
      </c>
      <c r="E4" t="s">
        <v>1492</v>
      </c>
      <c r="F4" t="s">
        <v>255</v>
      </c>
      <c r="G4" t="str">
        <f t="shared" si="0"/>
        <v>"5,575,946"</v>
      </c>
    </row>
    <row r="5" spans="1:7" x14ac:dyDescent="0.25">
      <c r="A5" t="s">
        <v>1494</v>
      </c>
      <c r="D5" t="s">
        <v>383</v>
      </c>
      <c r="E5" t="s">
        <v>1492</v>
      </c>
      <c r="F5" t="s">
        <v>255</v>
      </c>
      <c r="G5" t="str">
        <f t="shared" si="0"/>
        <v>"5,304,710"</v>
      </c>
    </row>
    <row r="6" spans="1:7" x14ac:dyDescent="0.25">
      <c r="A6" t="s">
        <v>1496</v>
      </c>
      <c r="D6" t="s">
        <v>1495</v>
      </c>
      <c r="E6" t="s">
        <v>1492</v>
      </c>
      <c r="F6" t="s">
        <v>255</v>
      </c>
      <c r="G6" t="str">
        <f t="shared" si="0"/>
        <v>"5,163,902"</v>
      </c>
    </row>
    <row r="7" spans="1:7" x14ac:dyDescent="0.25">
      <c r="A7" t="s">
        <v>1499</v>
      </c>
      <c r="D7" t="s">
        <v>1497</v>
      </c>
      <c r="E7" t="s">
        <v>1498</v>
      </c>
      <c r="F7" t="s">
        <v>1498</v>
      </c>
      <c r="G7" t="str">
        <f t="shared" si="0"/>
        <v>"5,064,546"</v>
      </c>
    </row>
    <row r="8" spans="1:7" x14ac:dyDescent="0.25">
      <c r="A8" t="s">
        <v>1501</v>
      </c>
      <c r="D8" t="s">
        <v>1500</v>
      </c>
      <c r="E8" t="s">
        <v>322</v>
      </c>
      <c r="F8" t="s">
        <v>323</v>
      </c>
      <c r="G8" t="str">
        <f t="shared" si="0"/>
        <v>"4,360,815"</v>
      </c>
    </row>
    <row r="9" spans="1:7" x14ac:dyDescent="0.25">
      <c r="A9" t="s">
        <v>1504</v>
      </c>
      <c r="D9" t="s">
        <v>1502</v>
      </c>
      <c r="E9" t="s">
        <v>1503</v>
      </c>
      <c r="F9" t="s">
        <v>1490</v>
      </c>
      <c r="G9" t="str">
        <f t="shared" si="0"/>
        <v>"4,200,000"</v>
      </c>
    </row>
    <row r="10" spans="1:7" x14ac:dyDescent="0.25">
      <c r="A10" t="s">
        <v>1505</v>
      </c>
      <c r="D10" t="s">
        <v>390</v>
      </c>
      <c r="E10" t="s">
        <v>1487</v>
      </c>
      <c r="F10" t="s">
        <v>1488</v>
      </c>
      <c r="G10" t="str">
        <f t="shared" si="0"/>
        <v>"3,800,000"</v>
      </c>
    </row>
    <row r="11" spans="1:7" x14ac:dyDescent="0.25">
      <c r="A11" t="s">
        <v>1507</v>
      </c>
      <c r="D11" t="s">
        <v>1506</v>
      </c>
      <c r="E11" t="s">
        <v>1487</v>
      </c>
      <c r="F11" t="s">
        <v>1488</v>
      </c>
      <c r="G11" t="str">
        <f t="shared" si="0"/>
        <v>"3,600,000"</v>
      </c>
    </row>
    <row r="12" spans="1:7" x14ac:dyDescent="0.25">
      <c r="A12" t="s">
        <v>1508</v>
      </c>
      <c r="D12" t="s">
        <v>363</v>
      </c>
      <c r="E12" t="s">
        <v>1492</v>
      </c>
      <c r="F12" t="s">
        <v>255</v>
      </c>
      <c r="G12" t="str">
        <f t="shared" si="0"/>
        <v>"3,231,700"</v>
      </c>
    </row>
    <row r="13" spans="1:7" x14ac:dyDescent="0.25">
      <c r="A13" t="s">
        <v>1512</v>
      </c>
      <c r="D13" t="s">
        <v>1509</v>
      </c>
      <c r="E13" t="s">
        <v>1510</v>
      </c>
      <c r="F13" t="s">
        <v>1511</v>
      </c>
      <c r="G13" t="str">
        <f t="shared" si="0"/>
        <v>"3,128,550"</v>
      </c>
    </row>
    <row r="14" spans="1:7" x14ac:dyDescent="0.25">
      <c r="A14" t="s">
        <v>1516</v>
      </c>
      <c r="D14" t="s">
        <v>1513</v>
      </c>
      <c r="E14" t="s">
        <v>1514</v>
      </c>
      <c r="F14" t="s">
        <v>1515</v>
      </c>
      <c r="G14" t="str">
        <f t="shared" si="0"/>
        <v>"2,882,385"</v>
      </c>
    </row>
    <row r="15" spans="1:7" x14ac:dyDescent="0.25">
      <c r="A15" t="s">
        <v>1518</v>
      </c>
      <c r="D15" t="s">
        <v>1517</v>
      </c>
      <c r="E15" t="s">
        <v>326</v>
      </c>
      <c r="F15" t="s">
        <v>1490</v>
      </c>
      <c r="G15" t="str">
        <f t="shared" si="0"/>
        <v>"2,805,659"</v>
      </c>
    </row>
    <row r="16" spans="1:7" x14ac:dyDescent="0.25">
      <c r="A16" t="s">
        <v>1520</v>
      </c>
      <c r="D16" t="s">
        <v>1519</v>
      </c>
      <c r="E16" t="s">
        <v>1510</v>
      </c>
      <c r="F16" t="s">
        <v>1511</v>
      </c>
      <c r="G16" t="str">
        <f t="shared" si="0"/>
        <v>"2,640,264"</v>
      </c>
    </row>
    <row r="17" spans="1:7" x14ac:dyDescent="0.25">
      <c r="A17" t="s">
        <v>1524</v>
      </c>
      <c r="D17" t="s">
        <v>1521</v>
      </c>
      <c r="E17" t="s">
        <v>1522</v>
      </c>
      <c r="F17" t="s">
        <v>1523</v>
      </c>
      <c r="G17" t="str">
        <f t="shared" si="0"/>
        <v>"2,565,000"</v>
      </c>
    </row>
    <row r="18" spans="1:7" x14ac:dyDescent="0.25">
      <c r="A18" t="s">
        <v>1527</v>
      </c>
      <c r="D18" t="s">
        <v>1525</v>
      </c>
      <c r="E18" t="s">
        <v>1526</v>
      </c>
      <c r="F18" t="s">
        <v>246</v>
      </c>
      <c r="G18" t="str">
        <f t="shared" si="0"/>
        <v>"2,235,354"</v>
      </c>
    </row>
    <row r="19" spans="1:7" x14ac:dyDescent="0.25">
      <c r="A19" t="s">
        <v>1529</v>
      </c>
      <c r="D19" t="s">
        <v>1528</v>
      </c>
      <c r="E19" t="s">
        <v>1492</v>
      </c>
      <c r="F19" t="s">
        <v>255</v>
      </c>
      <c r="G19" t="str">
        <f t="shared" si="0"/>
        <v>"2,096,858"</v>
      </c>
    </row>
    <row r="20" spans="1:7" x14ac:dyDescent="0.25">
      <c r="A20" t="s">
        <v>1531</v>
      </c>
      <c r="D20" t="s">
        <v>1530</v>
      </c>
      <c r="E20" t="s">
        <v>328</v>
      </c>
      <c r="F20" t="s">
        <v>256</v>
      </c>
      <c r="G20" t="str">
        <f t="shared" si="0"/>
        <v>"1,944,820"</v>
      </c>
    </row>
    <row r="21" spans="1:7" x14ac:dyDescent="0.25">
      <c r="A21" t="s">
        <v>1534</v>
      </c>
      <c r="D21" t="s">
        <v>1532</v>
      </c>
      <c r="E21" t="s">
        <v>1533</v>
      </c>
      <c r="F21" t="s">
        <v>255</v>
      </c>
      <c r="G21" t="str">
        <f t="shared" si="0"/>
        <v>"1,893,521"</v>
      </c>
    </row>
    <row r="22" spans="1:7" x14ac:dyDescent="0.25">
      <c r="A22" t="s">
        <v>1538</v>
      </c>
      <c r="D22" t="s">
        <v>1535</v>
      </c>
      <c r="E22" t="s">
        <v>1536</v>
      </c>
      <c r="F22" t="s">
        <v>1537</v>
      </c>
      <c r="G22" t="str">
        <f t="shared" si="0"/>
        <v>"1,769,217"</v>
      </c>
    </row>
    <row r="23" spans="1:7" x14ac:dyDescent="0.25">
      <c r="A23" t="s">
        <v>1541</v>
      </c>
      <c r="D23" t="s">
        <v>1539</v>
      </c>
      <c r="E23" t="s">
        <v>1540</v>
      </c>
      <c r="F23" t="s">
        <v>1515</v>
      </c>
      <c r="G23" t="str">
        <f t="shared" si="0"/>
        <v>"1,735,600"</v>
      </c>
    </row>
    <row r="24" spans="1:7" x14ac:dyDescent="0.25">
      <c r="A24" t="s">
        <v>1543</v>
      </c>
      <c r="D24" t="s">
        <v>1542</v>
      </c>
      <c r="E24" t="s">
        <v>1533</v>
      </c>
      <c r="F24" t="s">
        <v>255</v>
      </c>
      <c r="G24" t="str">
        <f t="shared" si="0"/>
        <v>"1,604,105"</v>
      </c>
    </row>
    <row r="25" spans="1:7" x14ac:dyDescent="0.25">
      <c r="A25" t="s">
        <v>1544</v>
      </c>
      <c r="D25" t="s">
        <v>372</v>
      </c>
      <c r="E25" t="s">
        <v>156</v>
      </c>
      <c r="F25" t="s">
        <v>1490</v>
      </c>
      <c r="G25" t="str">
        <f t="shared" si="0"/>
        <v>"1,590,608"</v>
      </c>
    </row>
    <row r="26" spans="1:7" x14ac:dyDescent="0.25">
      <c r="A26" t="s">
        <v>1548</v>
      </c>
      <c r="D26" t="s">
        <v>1545</v>
      </c>
      <c r="E26" t="s">
        <v>1546</v>
      </c>
      <c r="F26" t="s">
        <v>1547</v>
      </c>
      <c r="G26" t="str">
        <f t="shared" si="0"/>
        <v>"1,571,333"</v>
      </c>
    </row>
    <row r="27" spans="1:7" x14ac:dyDescent="0.25">
      <c r="A27" t="s">
        <v>1550</v>
      </c>
      <c r="D27" t="s">
        <v>1549</v>
      </c>
      <c r="E27" t="s">
        <v>1492</v>
      </c>
      <c r="F27" t="s">
        <v>255</v>
      </c>
      <c r="G27" t="str">
        <f t="shared" si="0"/>
        <v>"1,536,833"</v>
      </c>
    </row>
    <row r="28" spans="1:7" x14ac:dyDescent="0.25">
      <c r="A28" t="s">
        <v>1552</v>
      </c>
      <c r="D28" t="s">
        <v>1551</v>
      </c>
      <c r="E28" t="s">
        <v>1487</v>
      </c>
      <c r="F28" t="s">
        <v>1488</v>
      </c>
      <c r="G28" t="str">
        <f t="shared" si="0"/>
        <v>"1,518,927"</v>
      </c>
    </row>
    <row r="29" spans="1:7" x14ac:dyDescent="0.25">
      <c r="A29" t="s">
        <v>1555</v>
      </c>
      <c r="D29" t="s">
        <v>1553</v>
      </c>
      <c r="E29" t="s">
        <v>1554</v>
      </c>
      <c r="F29" t="s">
        <v>247</v>
      </c>
      <c r="G29" t="str">
        <f t="shared" si="0"/>
        <v>"1,504,286"</v>
      </c>
    </row>
    <row r="30" spans="1:7" x14ac:dyDescent="0.25">
      <c r="A30" t="s">
        <v>1557</v>
      </c>
      <c r="D30" t="s">
        <v>1556</v>
      </c>
      <c r="E30" t="s">
        <v>1540</v>
      </c>
      <c r="F30" t="s">
        <v>1515</v>
      </c>
      <c r="G30" t="str">
        <f t="shared" si="0"/>
        <v>"1,491,575"</v>
      </c>
    </row>
    <row r="31" spans="1:7" x14ac:dyDescent="0.25">
      <c r="A31" t="s">
        <v>1561</v>
      </c>
      <c r="D31" t="s">
        <v>1558</v>
      </c>
      <c r="E31" t="s">
        <v>1559</v>
      </c>
      <c r="F31" t="s">
        <v>1560</v>
      </c>
      <c r="G31" t="str">
        <f t="shared" si="0"/>
        <v>"1,486,281"</v>
      </c>
    </row>
    <row r="32" spans="1:7" x14ac:dyDescent="0.25">
      <c r="A32" t="s">
        <v>1564</v>
      </c>
      <c r="D32" t="s">
        <v>1562</v>
      </c>
      <c r="E32" t="s">
        <v>1563</v>
      </c>
      <c r="F32" t="s">
        <v>1547</v>
      </c>
      <c r="G32" t="str">
        <f t="shared" si="0"/>
        <v>"1,480,944"</v>
      </c>
    </row>
    <row r="33" spans="1:7" x14ac:dyDescent="0.25">
      <c r="A33" t="s">
        <v>1566</v>
      </c>
      <c r="D33" t="s">
        <v>1565</v>
      </c>
      <c r="E33" t="s">
        <v>81</v>
      </c>
      <c r="F33" t="s">
        <v>1490</v>
      </c>
      <c r="G33" t="str">
        <f t="shared" si="0"/>
        <v>"1,448,176"</v>
      </c>
    </row>
    <row r="34" spans="1:7" x14ac:dyDescent="0.25">
      <c r="A34" t="s">
        <v>1568</v>
      </c>
      <c r="D34" t="s">
        <v>1567</v>
      </c>
      <c r="E34" t="s">
        <v>134</v>
      </c>
      <c r="F34" t="s">
        <v>1490</v>
      </c>
      <c r="G34" t="str">
        <f t="shared" ref="G34:G63" si="1" xml:space="preserve"> """" &amp; A34 &amp; """"</f>
        <v>"1,438,158"</v>
      </c>
    </row>
    <row r="35" spans="1:7" x14ac:dyDescent="0.25">
      <c r="A35" t="s">
        <v>1570</v>
      </c>
      <c r="D35" t="s">
        <v>1569</v>
      </c>
      <c r="E35" t="s">
        <v>1492</v>
      </c>
      <c r="F35" t="s">
        <v>255</v>
      </c>
      <c r="G35" t="str">
        <f t="shared" si="1"/>
        <v>"1,413,605"</v>
      </c>
    </row>
    <row r="36" spans="1:7" x14ac:dyDescent="0.25">
      <c r="A36" t="s">
        <v>1573</v>
      </c>
      <c r="D36" t="s">
        <v>1571</v>
      </c>
      <c r="E36" t="s">
        <v>1572</v>
      </c>
      <c r="F36" t="s">
        <v>248</v>
      </c>
      <c r="G36" t="str">
        <f t="shared" si="1"/>
        <v>"1,410,000"</v>
      </c>
    </row>
    <row r="37" spans="1:7" x14ac:dyDescent="0.25">
      <c r="A37" t="s">
        <v>1576</v>
      </c>
      <c r="D37" t="s">
        <v>1574</v>
      </c>
      <c r="E37" t="s">
        <v>1575</v>
      </c>
      <c r="F37" t="s">
        <v>1511</v>
      </c>
      <c r="G37" t="str">
        <f t="shared" si="1"/>
        <v>"1,378,074"</v>
      </c>
    </row>
    <row r="38" spans="1:7" x14ac:dyDescent="0.25">
      <c r="A38" t="s">
        <v>1579</v>
      </c>
      <c r="D38" t="s">
        <v>1577</v>
      </c>
      <c r="E38" t="s">
        <v>1578</v>
      </c>
      <c r="F38" t="s">
        <v>1537</v>
      </c>
      <c r="G38" t="str">
        <f t="shared" si="1"/>
        <v>"1,323,508"</v>
      </c>
    </row>
    <row r="39" spans="1:7" x14ac:dyDescent="0.25">
      <c r="A39" t="s">
        <v>1581</v>
      </c>
      <c r="D39" t="s">
        <v>1580</v>
      </c>
      <c r="E39" t="s">
        <v>1487</v>
      </c>
      <c r="F39" t="s">
        <v>1488</v>
      </c>
      <c r="G39" t="str">
        <f t="shared" si="1"/>
        <v>"1,310,148"</v>
      </c>
    </row>
    <row r="40" spans="1:7" x14ac:dyDescent="0.25">
      <c r="A40" t="s">
        <v>1584</v>
      </c>
      <c r="D40" t="s">
        <v>1582</v>
      </c>
      <c r="E40" t="s">
        <v>1583</v>
      </c>
      <c r="F40" t="s">
        <v>1523</v>
      </c>
      <c r="G40" t="str">
        <f t="shared" si="1"/>
        <v>"1,296,284"</v>
      </c>
    </row>
    <row r="41" spans="1:7" x14ac:dyDescent="0.25">
      <c r="A41" t="s">
        <v>1586</v>
      </c>
      <c r="D41" t="s">
        <v>1585</v>
      </c>
      <c r="E41" t="s">
        <v>1510</v>
      </c>
      <c r="F41" t="s">
        <v>1511</v>
      </c>
      <c r="G41" t="str">
        <f t="shared" si="1"/>
        <v>"1,284,038"</v>
      </c>
    </row>
    <row r="42" spans="1:7" x14ac:dyDescent="0.25">
      <c r="A42" t="s">
        <v>1588</v>
      </c>
      <c r="D42" t="s">
        <v>1587</v>
      </c>
      <c r="E42" t="s">
        <v>1522</v>
      </c>
      <c r="F42" t="s">
        <v>1523</v>
      </c>
      <c r="G42" t="str">
        <f t="shared" si="1"/>
        <v>"1,255,281"</v>
      </c>
    </row>
    <row r="43" spans="1:7" x14ac:dyDescent="0.25">
      <c r="A43" t="s">
        <v>1590</v>
      </c>
      <c r="D43" t="s">
        <v>1589</v>
      </c>
      <c r="E43" t="s">
        <v>1503</v>
      </c>
      <c r="F43" t="s">
        <v>1490</v>
      </c>
      <c r="G43" t="str">
        <f t="shared" si="1"/>
        <v>"1,231,983"</v>
      </c>
    </row>
    <row r="44" spans="1:7" x14ac:dyDescent="0.25">
      <c r="A44" t="s">
        <v>1592</v>
      </c>
      <c r="D44" t="s">
        <v>1591</v>
      </c>
      <c r="E44" t="s">
        <v>1536</v>
      </c>
      <c r="F44" t="s">
        <v>1537</v>
      </c>
      <c r="G44" t="str">
        <f t="shared" si="1"/>
        <v>"1,225,254"</v>
      </c>
    </row>
    <row r="45" spans="1:7" x14ac:dyDescent="0.25">
      <c r="A45" t="s">
        <v>1594</v>
      </c>
      <c r="D45" t="s">
        <v>1525</v>
      </c>
      <c r="E45" t="s">
        <v>1593</v>
      </c>
      <c r="F45" t="s">
        <v>246</v>
      </c>
      <c r="G45" t="str">
        <f t="shared" si="1"/>
        <v>"1,215,763"</v>
      </c>
    </row>
    <row r="46" spans="1:7" x14ac:dyDescent="0.25">
      <c r="A46" t="s">
        <v>1596</v>
      </c>
      <c r="D46" t="s">
        <v>1595</v>
      </c>
      <c r="E46" t="s">
        <v>1492</v>
      </c>
      <c r="F46" t="s">
        <v>255</v>
      </c>
      <c r="G46" t="str">
        <f t="shared" si="1"/>
        <v>"1,202,801"</v>
      </c>
    </row>
    <row r="47" spans="1:7" x14ac:dyDescent="0.25">
      <c r="A47" t="s">
        <v>1599</v>
      </c>
      <c r="D47" t="s">
        <v>1597</v>
      </c>
      <c r="E47" t="s">
        <v>1598</v>
      </c>
      <c r="F47" t="s">
        <v>1547</v>
      </c>
      <c r="G47" t="str">
        <f t="shared" si="1"/>
        <v>"1,195,176"</v>
      </c>
    </row>
    <row r="48" spans="1:7" x14ac:dyDescent="0.25">
      <c r="A48" t="s">
        <v>1602</v>
      </c>
      <c r="D48" t="s">
        <v>1600</v>
      </c>
      <c r="E48" t="s">
        <v>1601</v>
      </c>
      <c r="F48" t="s">
        <v>1537</v>
      </c>
      <c r="G48" t="str">
        <f t="shared" si="1"/>
        <v>"1,189,661"</v>
      </c>
    </row>
    <row r="49" spans="1:7" x14ac:dyDescent="0.25">
      <c r="A49" t="s">
        <v>1603</v>
      </c>
      <c r="D49" t="s">
        <v>381</v>
      </c>
      <c r="E49" t="s">
        <v>326</v>
      </c>
      <c r="F49" t="s">
        <v>1490</v>
      </c>
      <c r="G49" t="str">
        <f t="shared" si="1"/>
        <v>"1,188,839"</v>
      </c>
    </row>
    <row r="50" spans="1:7" x14ac:dyDescent="0.25">
      <c r="A50" t="s">
        <v>1605</v>
      </c>
      <c r="D50" t="s">
        <v>1604</v>
      </c>
      <c r="E50" t="s">
        <v>156</v>
      </c>
      <c r="F50" t="s">
        <v>1490</v>
      </c>
      <c r="G50" t="str">
        <f t="shared" si="1"/>
        <v>"1,172,841"</v>
      </c>
    </row>
    <row r="51" spans="1:7" x14ac:dyDescent="0.25">
      <c r="A51" t="s">
        <v>1608</v>
      </c>
      <c r="D51" t="s">
        <v>1606</v>
      </c>
      <c r="E51" t="s">
        <v>1607</v>
      </c>
      <c r="F51" t="s">
        <v>1537</v>
      </c>
      <c r="G51" t="str">
        <f t="shared" si="1"/>
        <v>"1,167,744"</v>
      </c>
    </row>
    <row r="52" spans="1:7" x14ac:dyDescent="0.25">
      <c r="A52" t="s">
        <v>1610</v>
      </c>
      <c r="D52" t="s">
        <v>1609</v>
      </c>
      <c r="E52" t="s">
        <v>1514</v>
      </c>
      <c r="F52" t="s">
        <v>1515</v>
      </c>
      <c r="G52" t="str">
        <f t="shared" si="1"/>
        <v>"1,144,164"</v>
      </c>
    </row>
    <row r="53" spans="1:7" x14ac:dyDescent="0.25">
      <c r="A53" t="s">
        <v>1614</v>
      </c>
      <c r="D53" t="s">
        <v>1611</v>
      </c>
      <c r="E53" t="s">
        <v>1612</v>
      </c>
      <c r="F53" t="s">
        <v>1613</v>
      </c>
      <c r="G53" t="str">
        <f t="shared" si="1"/>
        <v>"1,108,658"</v>
      </c>
    </row>
    <row r="54" spans="1:7" x14ac:dyDescent="0.25">
      <c r="A54" t="s">
        <v>1617</v>
      </c>
      <c r="D54" t="s">
        <v>1615</v>
      </c>
      <c r="E54" t="s">
        <v>1616</v>
      </c>
      <c r="F54" t="s">
        <v>1523</v>
      </c>
      <c r="G54" t="str">
        <f t="shared" si="1"/>
        <v>"1,087,765"</v>
      </c>
    </row>
    <row r="55" spans="1:7" x14ac:dyDescent="0.25">
      <c r="A55" t="s">
        <v>1620</v>
      </c>
      <c r="D55" t="s">
        <v>1618</v>
      </c>
      <c r="E55" t="s">
        <v>1619</v>
      </c>
      <c r="F55" t="s">
        <v>256</v>
      </c>
      <c r="G55" t="str">
        <f t="shared" si="1"/>
        <v>"1,080,000"</v>
      </c>
    </row>
    <row r="56" spans="1:7" x14ac:dyDescent="0.25">
      <c r="A56" t="s">
        <v>1621</v>
      </c>
      <c r="D56" t="s">
        <v>1528</v>
      </c>
      <c r="E56" t="s">
        <v>1503</v>
      </c>
      <c r="F56" t="s">
        <v>1490</v>
      </c>
      <c r="G56" t="str">
        <f t="shared" si="1"/>
        <v>"1,078,774"</v>
      </c>
    </row>
    <row r="57" spans="1:7" x14ac:dyDescent="0.25">
      <c r="A57" t="s">
        <v>1623</v>
      </c>
      <c r="D57" t="s">
        <v>1622</v>
      </c>
      <c r="E57" t="s">
        <v>1554</v>
      </c>
      <c r="F57" t="s">
        <v>247</v>
      </c>
      <c r="G57" t="str">
        <f t="shared" si="1"/>
        <v>"1,066,088"</v>
      </c>
    </row>
    <row r="58" spans="1:7" x14ac:dyDescent="0.25">
      <c r="A58" t="s">
        <v>1626</v>
      </c>
      <c r="D58" t="s">
        <v>1624</v>
      </c>
      <c r="E58" t="s">
        <v>1625</v>
      </c>
      <c r="F58" t="s">
        <v>255</v>
      </c>
      <c r="G58" t="str">
        <f t="shared" si="1"/>
        <v>"1,037,594"</v>
      </c>
    </row>
    <row r="59" spans="1:7" x14ac:dyDescent="0.25">
      <c r="A59" t="s">
        <v>1629</v>
      </c>
      <c r="D59" t="s">
        <v>1627</v>
      </c>
      <c r="E59" t="s">
        <v>1628</v>
      </c>
      <c r="F59" t="s">
        <v>250</v>
      </c>
      <c r="G59" t="str">
        <f t="shared" si="1"/>
        <v>"1,025,920"</v>
      </c>
    </row>
    <row r="60" spans="1:7" x14ac:dyDescent="0.25">
      <c r="A60" t="s">
        <v>1631</v>
      </c>
      <c r="D60" t="s">
        <v>386</v>
      </c>
      <c r="E60" t="s">
        <v>1630</v>
      </c>
      <c r="F60" t="s">
        <v>253</v>
      </c>
      <c r="G60" t="str">
        <f t="shared" si="1"/>
        <v>"1,020,462"</v>
      </c>
    </row>
    <row r="61" spans="1:7" x14ac:dyDescent="0.25">
      <c r="A61" t="s">
        <v>1634</v>
      </c>
      <c r="D61" t="s">
        <v>1632</v>
      </c>
      <c r="E61" t="s">
        <v>1633</v>
      </c>
      <c r="F61" t="s">
        <v>1523</v>
      </c>
      <c r="G61" t="str">
        <f t="shared" si="1"/>
        <v>"1,014,104"</v>
      </c>
    </row>
    <row r="62" spans="1:7" x14ac:dyDescent="0.25">
      <c r="A62" t="s">
        <v>1636</v>
      </c>
      <c r="D62" t="s">
        <v>1635</v>
      </c>
      <c r="E62" t="s">
        <v>1625</v>
      </c>
      <c r="F62" t="s">
        <v>255</v>
      </c>
      <c r="G62" t="str">
        <f t="shared" si="1"/>
        <v>"1,008,092"</v>
      </c>
    </row>
    <row r="63" spans="1:7" x14ac:dyDescent="0.25">
      <c r="A63">
        <v>998.21400000000006</v>
      </c>
      <c r="D63" t="s">
        <v>1637</v>
      </c>
      <c r="E63" t="s">
        <v>130</v>
      </c>
      <c r="F63" t="s">
        <v>1490</v>
      </c>
      <c r="G63" t="str">
        <f t="shared" si="1"/>
        <v>"998,214"</v>
      </c>
    </row>
    <row r="64" spans="1:7" x14ac:dyDescent="0.25">
      <c r="A64" t="s">
        <v>247</v>
      </c>
      <c r="D64" t="s">
        <v>1638</v>
      </c>
      <c r="E64" t="s">
        <v>1639</v>
      </c>
      <c r="F64" t="s">
        <v>1554</v>
      </c>
      <c r="G64">
        <v>991.18200000000002</v>
      </c>
    </row>
    <row r="65" spans="1:6" x14ac:dyDescent="0.25">
      <c r="A65">
        <v>971.101</v>
      </c>
      <c r="D65" t="s">
        <v>1640</v>
      </c>
      <c r="E65" t="s">
        <v>1616</v>
      </c>
      <c r="F65" t="s">
        <v>1523</v>
      </c>
    </row>
    <row r="66" spans="1:6" x14ac:dyDescent="0.25">
      <c r="A66">
        <v>971.005</v>
      </c>
      <c r="D66" t="s">
        <v>1525</v>
      </c>
      <c r="E66" t="s">
        <v>1641</v>
      </c>
      <c r="F66" t="s">
        <v>246</v>
      </c>
    </row>
    <row r="67" spans="1:6" x14ac:dyDescent="0.25">
      <c r="A67">
        <v>965</v>
      </c>
      <c r="D67" t="s">
        <v>1642</v>
      </c>
      <c r="E67" t="s">
        <v>1559</v>
      </c>
      <c r="F67" t="s">
        <v>1560</v>
      </c>
    </row>
    <row r="68" spans="1:6" x14ac:dyDescent="0.25">
      <c r="A68">
        <v>940.43299999999999</v>
      </c>
      <c r="D68" t="s">
        <v>1643</v>
      </c>
      <c r="E68" t="s">
        <v>1554</v>
      </c>
      <c r="F68" t="s">
        <v>247</v>
      </c>
    </row>
    <row r="69" spans="1:6" x14ac:dyDescent="0.25">
      <c r="A69">
        <v>934.56299999999999</v>
      </c>
      <c r="D69" t="s">
        <v>1644</v>
      </c>
      <c r="E69" t="s">
        <v>1536</v>
      </c>
      <c r="F69" t="s">
        <v>1537</v>
      </c>
    </row>
    <row r="70" spans="1:6" x14ac:dyDescent="0.25">
      <c r="A70">
        <v>923.70600000000002</v>
      </c>
      <c r="D70" t="s">
        <v>1645</v>
      </c>
      <c r="E70" t="s">
        <v>1646</v>
      </c>
      <c r="F70" t="s">
        <v>1537</v>
      </c>
    </row>
    <row r="71" spans="1:6" x14ac:dyDescent="0.25">
      <c r="A71">
        <v>922.21299999999997</v>
      </c>
      <c r="D71" t="s">
        <v>1647</v>
      </c>
      <c r="E71" t="s">
        <v>1546</v>
      </c>
      <c r="F71" t="s">
        <v>1547</v>
      </c>
    </row>
    <row r="72" spans="1:6" x14ac:dyDescent="0.25">
      <c r="A72">
        <v>905.78700000000003</v>
      </c>
      <c r="D72" t="s">
        <v>1648</v>
      </c>
      <c r="E72" t="s">
        <v>1649</v>
      </c>
      <c r="F72" t="s">
        <v>1537</v>
      </c>
    </row>
    <row r="73" spans="1:6" x14ac:dyDescent="0.25">
      <c r="A73">
        <v>903.92200000000003</v>
      </c>
      <c r="D73" t="s">
        <v>1650</v>
      </c>
      <c r="E73" t="s">
        <v>1522</v>
      </c>
      <c r="F73" t="s">
        <v>1523</v>
      </c>
    </row>
    <row r="74" spans="1:6" x14ac:dyDescent="0.25">
      <c r="A74">
        <v>869.74300000000005</v>
      </c>
      <c r="D74" t="s">
        <v>1651</v>
      </c>
      <c r="E74" t="s">
        <v>1503</v>
      </c>
      <c r="F74" t="s">
        <v>1490</v>
      </c>
    </row>
    <row r="75" spans="1:6" x14ac:dyDescent="0.25">
      <c r="A75">
        <v>846.18</v>
      </c>
      <c r="D75" t="s">
        <v>1652</v>
      </c>
      <c r="E75" t="s">
        <v>1653</v>
      </c>
      <c r="F75" t="s">
        <v>255</v>
      </c>
    </row>
    <row r="76" spans="1:6" x14ac:dyDescent="0.25">
      <c r="A76">
        <v>843.54300000000001</v>
      </c>
      <c r="D76" t="s">
        <v>1654</v>
      </c>
      <c r="E76" t="s">
        <v>1598</v>
      </c>
      <c r="F76" t="s">
        <v>1547</v>
      </c>
    </row>
    <row r="77" spans="1:6" x14ac:dyDescent="0.25">
      <c r="A77">
        <v>835.20899999999995</v>
      </c>
      <c r="D77" t="s">
        <v>1655</v>
      </c>
      <c r="E77" t="s">
        <v>61</v>
      </c>
      <c r="F77" t="s">
        <v>1490</v>
      </c>
    </row>
    <row r="78" spans="1:6" x14ac:dyDescent="0.25">
      <c r="A78">
        <v>833.19600000000003</v>
      </c>
      <c r="D78" t="s">
        <v>1656</v>
      </c>
      <c r="E78" t="s">
        <v>1657</v>
      </c>
      <c r="F78" t="s">
        <v>251</v>
      </c>
    </row>
    <row r="79" spans="1:6" x14ac:dyDescent="0.25">
      <c r="A79">
        <v>827.25400000000002</v>
      </c>
      <c r="D79" t="s">
        <v>1658</v>
      </c>
      <c r="E79" t="s">
        <v>1659</v>
      </c>
      <c r="F79" t="s">
        <v>252</v>
      </c>
    </row>
    <row r="80" spans="1:6" x14ac:dyDescent="0.25">
      <c r="A80">
        <v>806.05200000000002</v>
      </c>
      <c r="D80" t="s">
        <v>1660</v>
      </c>
      <c r="E80" t="s">
        <v>1616</v>
      </c>
      <c r="F80" t="s">
        <v>1523</v>
      </c>
    </row>
    <row r="81" spans="1:6" x14ac:dyDescent="0.25">
      <c r="A81">
        <v>800</v>
      </c>
      <c r="D81" t="s">
        <v>1661</v>
      </c>
      <c r="E81" t="s">
        <v>1487</v>
      </c>
      <c r="F81" t="s">
        <v>1488</v>
      </c>
    </row>
    <row r="82" spans="1:6" x14ac:dyDescent="0.25">
      <c r="A82">
        <v>796.84100000000001</v>
      </c>
      <c r="D82" t="s">
        <v>1662</v>
      </c>
      <c r="E82" t="s">
        <v>1628</v>
      </c>
      <c r="F82" t="s">
        <v>250</v>
      </c>
    </row>
    <row r="83" spans="1:6" x14ac:dyDescent="0.25">
      <c r="A83">
        <v>783.05799999999999</v>
      </c>
      <c r="D83" t="s">
        <v>1663</v>
      </c>
      <c r="E83" t="s">
        <v>1546</v>
      </c>
      <c r="F83" t="s">
        <v>1547</v>
      </c>
    </row>
    <row r="84" spans="1:6" x14ac:dyDescent="0.25">
      <c r="A84">
        <v>764.34100000000001</v>
      </c>
      <c r="D84" t="s">
        <v>1664</v>
      </c>
      <c r="E84" t="s">
        <v>209</v>
      </c>
      <c r="F84" t="s">
        <v>255</v>
      </c>
    </row>
    <row r="85" spans="1:6" x14ac:dyDescent="0.25">
      <c r="A85">
        <v>755.38199999999995</v>
      </c>
      <c r="D85" t="s">
        <v>1665</v>
      </c>
      <c r="E85" t="s">
        <v>1666</v>
      </c>
      <c r="F85" t="s">
        <v>1547</v>
      </c>
    </row>
    <row r="86" spans="1:6" x14ac:dyDescent="0.25">
      <c r="A86">
        <v>753.25800000000004</v>
      </c>
      <c r="D86" t="s">
        <v>1667</v>
      </c>
      <c r="E86" t="s">
        <v>1503</v>
      </c>
      <c r="F86" t="s">
        <v>1490</v>
      </c>
    </row>
    <row r="87" spans="1:6" x14ac:dyDescent="0.25">
      <c r="A87">
        <v>750</v>
      </c>
      <c r="D87" t="s">
        <v>1668</v>
      </c>
      <c r="E87" t="s">
        <v>1669</v>
      </c>
      <c r="F87" t="s">
        <v>252</v>
      </c>
    </row>
    <row r="88" spans="1:6" x14ac:dyDescent="0.25">
      <c r="A88">
        <v>742.18399999999997</v>
      </c>
      <c r="D88" t="s">
        <v>1670</v>
      </c>
      <c r="E88" t="s">
        <v>1536</v>
      </c>
      <c r="F88" t="s">
        <v>1537</v>
      </c>
    </row>
    <row r="89" spans="1:6" x14ac:dyDescent="0.25">
      <c r="A89">
        <v>737.48</v>
      </c>
      <c r="D89" t="s">
        <v>1637</v>
      </c>
      <c r="E89" t="s">
        <v>71</v>
      </c>
      <c r="F89" t="s">
        <v>1490</v>
      </c>
    </row>
    <row r="90" spans="1:6" x14ac:dyDescent="0.25">
      <c r="A90">
        <v>710.46600000000001</v>
      </c>
      <c r="D90" t="s">
        <v>1671</v>
      </c>
      <c r="E90" t="s">
        <v>1616</v>
      </c>
      <c r="F90" t="s">
        <v>1523</v>
      </c>
    </row>
    <row r="91" spans="1:6" x14ac:dyDescent="0.25">
      <c r="A91">
        <v>703.58799999999997</v>
      </c>
      <c r="D91" t="s">
        <v>1672</v>
      </c>
      <c r="E91" t="s">
        <v>1612</v>
      </c>
      <c r="F91" t="s">
        <v>1613</v>
      </c>
    </row>
    <row r="92" spans="1:6" x14ac:dyDescent="0.25">
      <c r="A92">
        <v>701</v>
      </c>
      <c r="D92" t="s">
        <v>1673</v>
      </c>
      <c r="E92" t="s">
        <v>1572</v>
      </c>
      <c r="F92" t="s">
        <v>248</v>
      </c>
    </row>
    <row r="93" spans="1:6" x14ac:dyDescent="0.25">
      <c r="A93">
        <v>700</v>
      </c>
      <c r="D93" t="s">
        <v>1674</v>
      </c>
      <c r="E93" t="s">
        <v>1619</v>
      </c>
      <c r="F93" t="s">
        <v>256</v>
      </c>
    </row>
    <row r="94" spans="1:6" x14ac:dyDescent="0.25">
      <c r="A94">
        <v>698.85</v>
      </c>
      <c r="D94" t="s">
        <v>1675</v>
      </c>
      <c r="E94" t="s">
        <v>1649</v>
      </c>
      <c r="F94" t="s">
        <v>1537</v>
      </c>
    </row>
    <row r="95" spans="1:6" x14ac:dyDescent="0.25">
      <c r="A95">
        <v>698.48400000000004</v>
      </c>
      <c r="D95" t="s">
        <v>1676</v>
      </c>
      <c r="E95" t="s">
        <v>1677</v>
      </c>
      <c r="F95" t="s">
        <v>1537</v>
      </c>
    </row>
    <row r="96" spans="1:6" x14ac:dyDescent="0.25">
      <c r="A96">
        <v>689.85</v>
      </c>
      <c r="D96" t="s">
        <v>1678</v>
      </c>
      <c r="E96" t="s">
        <v>1649</v>
      </c>
      <c r="F96" t="s">
        <v>1537</v>
      </c>
    </row>
    <row r="97" spans="1:6" x14ac:dyDescent="0.25">
      <c r="A97">
        <v>667.38300000000004</v>
      </c>
      <c r="D97" t="s">
        <v>1528</v>
      </c>
      <c r="E97" t="s">
        <v>1666</v>
      </c>
      <c r="F97" t="s">
        <v>1547</v>
      </c>
    </row>
    <row r="98" spans="1:6" x14ac:dyDescent="0.25">
      <c r="A98">
        <v>665.77599999999995</v>
      </c>
      <c r="D98" t="s">
        <v>1679</v>
      </c>
      <c r="E98" t="s">
        <v>1680</v>
      </c>
      <c r="F98" t="s">
        <v>254</v>
      </c>
    </row>
    <row r="99" spans="1:6" x14ac:dyDescent="0.25">
      <c r="A99">
        <v>660.48599999999999</v>
      </c>
      <c r="D99" t="s">
        <v>1681</v>
      </c>
      <c r="E99" t="s">
        <v>1682</v>
      </c>
      <c r="F99" t="s">
        <v>1683</v>
      </c>
    </row>
    <row r="100" spans="1:6" x14ac:dyDescent="0.25">
      <c r="A100">
        <v>655</v>
      </c>
      <c r="D100" t="s">
        <v>1684</v>
      </c>
      <c r="E100" t="s">
        <v>1487</v>
      </c>
      <c r="F100" t="s">
        <v>1488</v>
      </c>
    </row>
    <row r="101" spans="1:6" x14ac:dyDescent="0.25">
      <c r="A101">
        <v>645.06100000000004</v>
      </c>
      <c r="D101" t="s">
        <v>1685</v>
      </c>
      <c r="E101" t="s">
        <v>1686</v>
      </c>
      <c r="F101" t="s">
        <v>1511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G21"/>
  <sheetViews>
    <sheetView workbookViewId="0">
      <selection activeCell="J8" sqref="J8"/>
    </sheetView>
  </sheetViews>
  <sheetFormatPr baseColWidth="10" defaultRowHeight="15" x14ac:dyDescent="0.25"/>
  <sheetData>
    <row r="1" spans="1:7" ht="30" x14ac:dyDescent="0.25">
      <c r="A1" s="8" t="s">
        <v>360</v>
      </c>
      <c r="B1" s="8" t="s">
        <v>17</v>
      </c>
      <c r="C1" s="8" t="s">
        <v>17</v>
      </c>
      <c r="D1" s="8" t="s">
        <v>1687</v>
      </c>
      <c r="E1" s="8" t="s">
        <v>1687</v>
      </c>
      <c r="F1" s="8" t="s">
        <v>1688</v>
      </c>
    </row>
    <row r="2" spans="1:7" x14ac:dyDescent="0.25">
      <c r="A2" s="9" t="s">
        <v>1486</v>
      </c>
      <c r="B2" s="9" t="s">
        <v>1487</v>
      </c>
      <c r="C2" s="9" t="str">
        <f>""""&amp;B2&amp;""""</f>
        <v>"Paris"</v>
      </c>
      <c r="D2" s="9" t="s">
        <v>1689</v>
      </c>
      <c r="E2" s="9" t="str">
        <f>""""&amp;D2&amp;""""</f>
        <v>"9,720,000"</v>
      </c>
      <c r="F2" s="9" t="s">
        <v>1690</v>
      </c>
      <c r="G2" s="9"/>
    </row>
    <row r="3" spans="1:7" ht="60" x14ac:dyDescent="0.25">
      <c r="A3" s="9" t="s">
        <v>1691</v>
      </c>
      <c r="B3" s="9" t="s">
        <v>1503</v>
      </c>
      <c r="C3" s="9" t="str">
        <f t="shared" ref="C3:C21" si="0">""""&amp;B3&amp;""""</f>
        <v>"Washington, D.C."</v>
      </c>
      <c r="D3" s="9" t="s">
        <v>1692</v>
      </c>
      <c r="E3" s="9" t="str">
        <f t="shared" ref="E3:E21" si="1">""""&amp;D3&amp;""""</f>
        <v>"7,600,000"</v>
      </c>
      <c r="F3" s="9" t="s">
        <v>1693</v>
      </c>
    </row>
    <row r="4" spans="1:7" ht="60" x14ac:dyDescent="0.25">
      <c r="A4" s="9" t="s">
        <v>1694</v>
      </c>
      <c r="B4" s="9" t="s">
        <v>1503</v>
      </c>
      <c r="C4" s="9" t="str">
        <f t="shared" si="0"/>
        <v>"Washington, D.C."</v>
      </c>
      <c r="D4" s="9" t="s">
        <v>1695</v>
      </c>
      <c r="E4" s="9" t="str">
        <f t="shared" si="1"/>
        <v>"6,800,000"</v>
      </c>
      <c r="F4" s="9" t="s">
        <v>1693</v>
      </c>
    </row>
    <row r="5" spans="1:7" ht="60" x14ac:dyDescent="0.25">
      <c r="A5" s="9" t="s">
        <v>1696</v>
      </c>
      <c r="B5" s="9" t="s">
        <v>326</v>
      </c>
      <c r="C5" s="9" t="str">
        <f t="shared" si="0"/>
        <v>"New York City"</v>
      </c>
      <c r="D5" s="9" t="s">
        <v>1697</v>
      </c>
      <c r="E5" s="9" t="str">
        <f t="shared" si="1"/>
        <v>"6,116,000"</v>
      </c>
      <c r="F5" s="9" t="s">
        <v>1693</v>
      </c>
    </row>
    <row r="6" spans="1:7" ht="30" x14ac:dyDescent="0.25">
      <c r="A6" s="9" t="s">
        <v>368</v>
      </c>
      <c r="B6" s="9" t="s">
        <v>1492</v>
      </c>
      <c r="C6" s="9" t="str">
        <f t="shared" si="0"/>
        <v>"London"</v>
      </c>
      <c r="D6" s="9" t="s">
        <v>1698</v>
      </c>
      <c r="E6" s="9" t="str">
        <f t="shared" si="1"/>
        <v>"5,576,000"</v>
      </c>
      <c r="F6" s="9" t="s">
        <v>1693</v>
      </c>
    </row>
    <row r="7" spans="1:7" ht="30" x14ac:dyDescent="0.25">
      <c r="A7" s="9" t="s">
        <v>383</v>
      </c>
      <c r="B7" s="9" t="s">
        <v>1492</v>
      </c>
      <c r="C7" s="9" t="str">
        <f t="shared" si="0"/>
        <v>"London"</v>
      </c>
      <c r="D7" s="9" t="s">
        <v>1699</v>
      </c>
      <c r="E7" s="9" t="str">
        <f t="shared" si="1"/>
        <v>"5,319,000"</v>
      </c>
      <c r="F7" s="9" t="s">
        <v>1693</v>
      </c>
    </row>
    <row r="8" spans="1:7" ht="30" x14ac:dyDescent="0.25">
      <c r="A8" s="9" t="s">
        <v>1495</v>
      </c>
      <c r="B8" s="9" t="s">
        <v>1492</v>
      </c>
      <c r="C8" s="9" t="str">
        <f t="shared" si="0"/>
        <v>"London"</v>
      </c>
      <c r="D8" s="9" t="s">
        <v>1700</v>
      </c>
      <c r="E8" s="9" t="str">
        <f t="shared" si="1"/>
        <v>"5,164,000"</v>
      </c>
      <c r="F8" s="9" t="s">
        <v>1693</v>
      </c>
    </row>
    <row r="9" spans="1:7" ht="30" x14ac:dyDescent="0.25">
      <c r="A9" s="9" t="s">
        <v>1497</v>
      </c>
      <c r="B9" s="9" t="s">
        <v>1701</v>
      </c>
      <c r="C9" s="9" t="str">
        <f t="shared" si="0"/>
        <v>"Vatican"</v>
      </c>
      <c r="D9" s="9" t="s">
        <v>1702</v>
      </c>
      <c r="E9" s="9" t="str">
        <f t="shared" si="1"/>
        <v>"5,065,000"</v>
      </c>
      <c r="F9" s="9" t="s">
        <v>1703</v>
      </c>
    </row>
    <row r="10" spans="1:7" ht="60" x14ac:dyDescent="0.25">
      <c r="A10" s="9" t="s">
        <v>361</v>
      </c>
      <c r="B10" s="9" t="s">
        <v>326</v>
      </c>
      <c r="C10" s="9" t="str">
        <f t="shared" si="0"/>
        <v>"New York City"</v>
      </c>
      <c r="D10" s="9" t="s">
        <v>1704</v>
      </c>
      <c r="E10" s="9" t="str">
        <f t="shared" si="1"/>
        <v>"5,000,000"</v>
      </c>
      <c r="F10" s="9" t="s">
        <v>1705</v>
      </c>
    </row>
    <row r="11" spans="1:7" ht="45" x14ac:dyDescent="0.25">
      <c r="A11" s="9" t="s">
        <v>376</v>
      </c>
      <c r="B11" s="9" t="s">
        <v>1492</v>
      </c>
      <c r="C11" s="9" t="str">
        <f t="shared" si="0"/>
        <v>"London"</v>
      </c>
      <c r="D11" s="9" t="s">
        <v>1706</v>
      </c>
      <c r="E11" s="9" t="str">
        <f t="shared" si="1"/>
        <v>"4,936,000"</v>
      </c>
      <c r="F11" s="9" t="s">
        <v>1693</v>
      </c>
    </row>
    <row r="12" spans="1:7" ht="60" x14ac:dyDescent="0.25">
      <c r="A12" s="9" t="s">
        <v>1707</v>
      </c>
      <c r="B12" s="9" t="s">
        <v>1503</v>
      </c>
      <c r="C12" s="9" t="str">
        <f t="shared" si="0"/>
        <v>"Washington, D.C."</v>
      </c>
      <c r="D12" s="9" t="s">
        <v>1708</v>
      </c>
      <c r="E12" s="9" t="str">
        <f t="shared" si="1"/>
        <v>"4,800,000"</v>
      </c>
      <c r="F12" s="9" t="s">
        <v>1693</v>
      </c>
    </row>
    <row r="13" spans="1:7" ht="60" x14ac:dyDescent="0.25">
      <c r="A13" s="9" t="s">
        <v>1709</v>
      </c>
      <c r="B13" s="9" t="s">
        <v>322</v>
      </c>
      <c r="C13" s="9" t="str">
        <f t="shared" si="0"/>
        <v>"Taipei"</v>
      </c>
      <c r="D13" s="9" t="s">
        <v>1710</v>
      </c>
      <c r="E13" s="9" t="str">
        <f t="shared" si="1"/>
        <v>"4,361,000"</v>
      </c>
      <c r="F13" s="9" t="s">
        <v>1711</v>
      </c>
    </row>
    <row r="14" spans="1:7" ht="45" x14ac:dyDescent="0.25">
      <c r="A14" s="9" t="s">
        <v>1502</v>
      </c>
      <c r="B14" s="9" t="s">
        <v>1503</v>
      </c>
      <c r="C14" s="9" t="str">
        <f t="shared" si="0"/>
        <v>"Washington, D.C."</v>
      </c>
      <c r="D14" s="9" t="s">
        <v>1504</v>
      </c>
      <c r="E14" s="9" t="str">
        <f t="shared" si="1"/>
        <v>"4,200,000"</v>
      </c>
      <c r="F14" s="9" t="s">
        <v>1693</v>
      </c>
    </row>
    <row r="15" spans="1:7" ht="45" x14ac:dyDescent="0.25">
      <c r="A15" s="9" t="s">
        <v>1712</v>
      </c>
      <c r="B15" s="9" t="s">
        <v>1619</v>
      </c>
      <c r="C15" s="9" t="str">
        <f t="shared" si="0"/>
        <v>"Beijing"</v>
      </c>
      <c r="D15" s="9" t="s">
        <v>1713</v>
      </c>
      <c r="E15" s="9" t="str">
        <f t="shared" si="1"/>
        <v>"4,100,000"</v>
      </c>
      <c r="F15" s="9" t="s">
        <v>1693</v>
      </c>
    </row>
    <row r="16" spans="1:7" ht="30" x14ac:dyDescent="0.25">
      <c r="A16" s="9" t="s">
        <v>390</v>
      </c>
      <c r="B16" s="9" t="s">
        <v>1487</v>
      </c>
      <c r="C16" s="9" t="str">
        <f t="shared" si="0"/>
        <v>"Paris"</v>
      </c>
      <c r="D16" s="9" t="s">
        <v>1505</v>
      </c>
      <c r="E16" s="9" t="str">
        <f t="shared" si="1"/>
        <v>"3,800,000"</v>
      </c>
      <c r="F16" s="9" t="s">
        <v>1714</v>
      </c>
    </row>
    <row r="17" spans="1:6" ht="30" x14ac:dyDescent="0.25">
      <c r="A17" s="9" t="s">
        <v>1715</v>
      </c>
      <c r="B17" s="9" t="s">
        <v>1487</v>
      </c>
      <c r="C17" s="9" t="str">
        <f t="shared" si="0"/>
        <v>"Paris"</v>
      </c>
      <c r="D17" s="9" t="s">
        <v>1716</v>
      </c>
      <c r="E17" s="9" t="str">
        <f t="shared" si="1"/>
        <v>"3,579,000"</v>
      </c>
      <c r="F17" s="9" t="s">
        <v>1717</v>
      </c>
    </row>
    <row r="18" spans="1:6" ht="45" x14ac:dyDescent="0.25">
      <c r="A18" s="9" t="s">
        <v>1718</v>
      </c>
      <c r="B18" s="9" t="s">
        <v>1492</v>
      </c>
      <c r="C18" s="9" t="str">
        <f t="shared" si="0"/>
        <v>"London"</v>
      </c>
      <c r="D18" s="9" t="s">
        <v>1719</v>
      </c>
      <c r="E18" s="9" t="str">
        <f t="shared" si="1"/>
        <v>"3,232,000"</v>
      </c>
      <c r="F18" s="9" t="s">
        <v>1693</v>
      </c>
    </row>
    <row r="19" spans="1:6" ht="45" x14ac:dyDescent="0.25">
      <c r="A19" s="9" t="s">
        <v>1509</v>
      </c>
      <c r="B19" s="9" t="s">
        <v>1510</v>
      </c>
      <c r="C19" s="9" t="str">
        <f t="shared" si="0"/>
        <v>"Seoul"</v>
      </c>
      <c r="D19" s="9" t="s">
        <v>1720</v>
      </c>
      <c r="E19" s="9" t="str">
        <f t="shared" si="1"/>
        <v>"3,128,000"</v>
      </c>
      <c r="F19" s="9" t="s">
        <v>1693</v>
      </c>
    </row>
    <row r="20" spans="1:6" ht="45" x14ac:dyDescent="0.25">
      <c r="A20" s="9" t="s">
        <v>1721</v>
      </c>
      <c r="B20" s="9" t="s">
        <v>1619</v>
      </c>
      <c r="C20" s="9" t="str">
        <f t="shared" si="0"/>
        <v>"Beijing"</v>
      </c>
      <c r="D20" s="9" t="s">
        <v>1722</v>
      </c>
      <c r="E20" s="9" t="str">
        <f t="shared" si="1"/>
        <v>"3,000,000"</v>
      </c>
      <c r="F20" s="9" t="s">
        <v>1711</v>
      </c>
    </row>
    <row r="21" spans="1:6" ht="30" x14ac:dyDescent="0.25">
      <c r="A21" s="9" t="s">
        <v>1723</v>
      </c>
      <c r="B21" s="9" t="s">
        <v>1492</v>
      </c>
      <c r="C21" s="9" t="str">
        <f t="shared" si="0"/>
        <v>"London"</v>
      </c>
      <c r="D21" s="9" t="s">
        <v>1724</v>
      </c>
      <c r="E21" s="9" t="str">
        <f t="shared" si="1"/>
        <v>"2,990,000"</v>
      </c>
      <c r="F21" s="9" t="s">
        <v>1693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H117"/>
  <sheetViews>
    <sheetView topLeftCell="A58" workbookViewId="0">
      <selection activeCell="H75" sqref="H75"/>
    </sheetView>
  </sheetViews>
  <sheetFormatPr baseColWidth="10" defaultRowHeight="15" x14ac:dyDescent="0.25"/>
  <sheetData>
    <row r="1" spans="1:8" ht="47.25" x14ac:dyDescent="0.25">
      <c r="A1" s="8" t="s">
        <v>1725</v>
      </c>
      <c r="D1" s="8" t="s">
        <v>1153</v>
      </c>
      <c r="E1" s="8" t="s">
        <v>17</v>
      </c>
      <c r="F1" s="8" t="s">
        <v>32</v>
      </c>
      <c r="G1" s="8" t="s">
        <v>1725</v>
      </c>
      <c r="H1" s="8" t="s">
        <v>1726</v>
      </c>
    </row>
    <row r="2" spans="1:8" x14ac:dyDescent="0.25">
      <c r="A2" s="9">
        <v>72.734999999999999</v>
      </c>
      <c r="D2" t="s">
        <v>1486</v>
      </c>
      <c r="E2" t="s">
        <v>1487</v>
      </c>
      <c r="F2" t="s">
        <v>1727</v>
      </c>
      <c r="G2" s="9" t="str">
        <f t="shared" ref="G2:G33" si="0" xml:space="preserve"> """" &amp; A2 &amp; """"</f>
        <v>"72,735"</v>
      </c>
      <c r="H2" s="9">
        <v>1792</v>
      </c>
    </row>
    <row r="3" spans="1:8" ht="21.75" customHeight="1" x14ac:dyDescent="0.25">
      <c r="A3" s="9">
        <v>66.841999999999999</v>
      </c>
      <c r="D3" t="s">
        <v>1513</v>
      </c>
      <c r="E3" t="s">
        <v>1514</v>
      </c>
      <c r="F3" t="s">
        <v>1728</v>
      </c>
      <c r="G3" s="9" t="str">
        <f t="shared" si="0"/>
        <v>"66,842"</v>
      </c>
      <c r="H3" s="9">
        <v>1764</v>
      </c>
    </row>
    <row r="4" spans="1:8" ht="15" customHeight="1" x14ac:dyDescent="0.25">
      <c r="A4" s="9">
        <v>65</v>
      </c>
      <c r="D4" t="s">
        <v>1712</v>
      </c>
      <c r="E4" t="s">
        <v>1619</v>
      </c>
      <c r="F4" t="s">
        <v>1729</v>
      </c>
      <c r="G4" s="9" t="str">
        <f t="shared" si="0"/>
        <v>"65"</v>
      </c>
      <c r="H4" s="9">
        <v>1959</v>
      </c>
    </row>
    <row r="5" spans="1:8" ht="15" customHeight="1" x14ac:dyDescent="0.25">
      <c r="A5" s="9">
        <v>58.82</v>
      </c>
      <c r="D5" t="s">
        <v>379</v>
      </c>
      <c r="E5" t="s">
        <v>326</v>
      </c>
      <c r="F5" t="s">
        <v>1730</v>
      </c>
      <c r="G5" s="9" t="str">
        <f t="shared" si="0"/>
        <v>"58,82"</v>
      </c>
      <c r="H5" s="9">
        <v>1870</v>
      </c>
    </row>
    <row r="6" spans="1:8" ht="15" customHeight="1" x14ac:dyDescent="0.25">
      <c r="A6" s="9">
        <v>43</v>
      </c>
      <c r="D6" t="s">
        <v>1497</v>
      </c>
      <c r="E6" s="9" t="s">
        <v>1731</v>
      </c>
      <c r="F6" t="s">
        <v>1732</v>
      </c>
      <c r="G6" s="9" t="str">
        <f t="shared" si="0"/>
        <v>"43"</v>
      </c>
      <c r="H6" s="9">
        <v>1506</v>
      </c>
    </row>
    <row r="7" spans="1:8" ht="15" customHeight="1" x14ac:dyDescent="0.25">
      <c r="A7" s="9">
        <v>38</v>
      </c>
      <c r="D7" t="s">
        <v>1553</v>
      </c>
      <c r="E7" t="s">
        <v>1554</v>
      </c>
      <c r="F7" t="s">
        <v>1733</v>
      </c>
      <c r="G7" s="9" t="str">
        <f t="shared" si="0"/>
        <v>"38"</v>
      </c>
      <c r="H7" s="9">
        <v>1872</v>
      </c>
    </row>
    <row r="8" spans="1:8" ht="15" customHeight="1" x14ac:dyDescent="0.25">
      <c r="A8" s="9">
        <v>33</v>
      </c>
      <c r="D8" t="s">
        <v>1734</v>
      </c>
      <c r="E8" t="s">
        <v>1657</v>
      </c>
      <c r="F8" t="s">
        <v>1735</v>
      </c>
      <c r="G8" s="9" t="str">
        <f t="shared" si="0"/>
        <v>"33"</v>
      </c>
      <c r="H8" s="9">
        <v>1964</v>
      </c>
    </row>
    <row r="9" spans="1:8" ht="15" customHeight="1" x14ac:dyDescent="0.25">
      <c r="A9" s="9">
        <v>30.658000000000001</v>
      </c>
      <c r="D9" t="s">
        <v>1736</v>
      </c>
      <c r="E9" t="s">
        <v>1492</v>
      </c>
      <c r="F9" t="s">
        <v>1737</v>
      </c>
      <c r="G9" s="9" t="str">
        <f t="shared" si="0"/>
        <v>"30,658"</v>
      </c>
      <c r="H9" s="9">
        <v>1852</v>
      </c>
    </row>
    <row r="10" spans="1:8" ht="15" customHeight="1" x14ac:dyDescent="0.25">
      <c r="A10" s="9">
        <v>27.09</v>
      </c>
      <c r="D10" t="s">
        <v>1509</v>
      </c>
      <c r="E10" t="s">
        <v>1510</v>
      </c>
      <c r="F10" t="s">
        <v>1738</v>
      </c>
      <c r="G10" s="9" t="str">
        <f t="shared" si="0"/>
        <v>"27,09"</v>
      </c>
      <c r="H10" s="9">
        <v>1945</v>
      </c>
    </row>
    <row r="11" spans="1:8" ht="15" customHeight="1" x14ac:dyDescent="0.25">
      <c r="A11" s="9">
        <v>26</v>
      </c>
      <c r="D11" t="s">
        <v>1567</v>
      </c>
      <c r="E11" t="s">
        <v>134</v>
      </c>
      <c r="F11" t="s">
        <v>1730</v>
      </c>
      <c r="G11" s="9" t="str">
        <f t="shared" si="0"/>
        <v>"26"</v>
      </c>
      <c r="H11" s="9">
        <v>1879</v>
      </c>
    </row>
    <row r="12" spans="1:8" ht="15" customHeight="1" x14ac:dyDescent="0.25">
      <c r="A12" s="9">
        <v>26</v>
      </c>
      <c r="D12" t="s">
        <v>1739</v>
      </c>
      <c r="E12" t="s">
        <v>1740</v>
      </c>
      <c r="F12" t="s">
        <v>1729</v>
      </c>
      <c r="G12" s="9" t="str">
        <f t="shared" si="0"/>
        <v>"26"</v>
      </c>
      <c r="H12" s="9">
        <v>1933</v>
      </c>
    </row>
    <row r="13" spans="1:8" ht="15" customHeight="1" x14ac:dyDescent="0.25">
      <c r="A13" s="9">
        <v>25.7</v>
      </c>
      <c r="D13" t="s">
        <v>368</v>
      </c>
      <c r="E13" t="s">
        <v>1492</v>
      </c>
      <c r="F13" t="s">
        <v>1737</v>
      </c>
      <c r="G13" s="9" t="str">
        <f t="shared" si="0"/>
        <v>"25,7"</v>
      </c>
      <c r="H13" s="9">
        <v>1753</v>
      </c>
    </row>
    <row r="14" spans="1:8" ht="15" customHeight="1" x14ac:dyDescent="0.25">
      <c r="A14" s="9">
        <v>25.2</v>
      </c>
      <c r="D14" t="s">
        <v>1502</v>
      </c>
      <c r="E14" t="s">
        <v>84</v>
      </c>
      <c r="F14" t="s">
        <v>1730</v>
      </c>
      <c r="G14" s="9" t="str">
        <f t="shared" si="0"/>
        <v>"25,2"</v>
      </c>
      <c r="H14" s="9">
        <v>1937</v>
      </c>
    </row>
    <row r="15" spans="1:8" ht="15" customHeight="1" x14ac:dyDescent="0.25">
      <c r="A15" s="9">
        <v>23.225000000000001</v>
      </c>
      <c r="D15" t="s">
        <v>1741</v>
      </c>
      <c r="E15" t="s">
        <v>1742</v>
      </c>
      <c r="F15" t="s">
        <v>1730</v>
      </c>
      <c r="G15" s="9" t="str">
        <f t="shared" si="0"/>
        <v>"23,225"</v>
      </c>
      <c r="H15" s="9">
        <v>1999</v>
      </c>
    </row>
    <row r="16" spans="1:8" ht="15" customHeight="1" x14ac:dyDescent="0.25">
      <c r="A16" s="9">
        <v>22</v>
      </c>
      <c r="D16" t="s">
        <v>1743</v>
      </c>
      <c r="E16" t="s">
        <v>1744</v>
      </c>
      <c r="F16" t="s">
        <v>1745</v>
      </c>
      <c r="G16" s="9" t="str">
        <f t="shared" si="0"/>
        <v>"22"</v>
      </c>
      <c r="H16" s="9">
        <v>1835</v>
      </c>
    </row>
    <row r="17" spans="1:8" ht="15" customHeight="1" x14ac:dyDescent="0.25">
      <c r="A17" s="9">
        <v>20.858000000000001</v>
      </c>
      <c r="D17" t="s">
        <v>1746</v>
      </c>
      <c r="E17" t="s">
        <v>1747</v>
      </c>
      <c r="F17" t="s">
        <v>1729</v>
      </c>
      <c r="G17" s="9" t="str">
        <f t="shared" si="0"/>
        <v>"20,858"</v>
      </c>
      <c r="H17" s="9">
        <v>2005</v>
      </c>
    </row>
    <row r="18" spans="1:8" ht="15" customHeight="1" x14ac:dyDescent="0.25">
      <c r="A18" s="9">
        <v>20.5</v>
      </c>
      <c r="D18" t="s">
        <v>1637</v>
      </c>
      <c r="E18" t="s">
        <v>130</v>
      </c>
      <c r="F18" t="s">
        <v>1730</v>
      </c>
      <c r="G18" s="9" t="str">
        <f t="shared" si="0"/>
        <v>"20,5"</v>
      </c>
      <c r="H18" s="9">
        <v>1870</v>
      </c>
    </row>
    <row r="19" spans="1:8" ht="15" customHeight="1" x14ac:dyDescent="0.25">
      <c r="A19" s="9">
        <v>18.5</v>
      </c>
      <c r="D19" t="s">
        <v>1658</v>
      </c>
      <c r="E19" t="s">
        <v>1659</v>
      </c>
      <c r="F19" t="s">
        <v>1748</v>
      </c>
      <c r="G19" s="9" t="str">
        <f t="shared" si="0"/>
        <v>"18,5"</v>
      </c>
      <c r="H19" s="9">
        <v>1965</v>
      </c>
    </row>
    <row r="20" spans="1:8" ht="15" customHeight="1" x14ac:dyDescent="0.25">
      <c r="A20" s="9">
        <v>18</v>
      </c>
      <c r="D20" t="s">
        <v>1749</v>
      </c>
      <c r="E20" t="s">
        <v>249</v>
      </c>
      <c r="F20" t="s">
        <v>1750</v>
      </c>
      <c r="G20" s="9" t="str">
        <f t="shared" si="0"/>
        <v>"18"</v>
      </c>
      <c r="H20" s="9">
        <v>2015</v>
      </c>
    </row>
    <row r="21" spans="1:8" ht="15" customHeight="1" x14ac:dyDescent="0.25">
      <c r="A21" s="9">
        <v>17.5</v>
      </c>
      <c r="D21" t="s">
        <v>1751</v>
      </c>
      <c r="E21" t="s">
        <v>1752</v>
      </c>
      <c r="F21" t="s">
        <v>1730</v>
      </c>
      <c r="G21" s="9" t="str">
        <f t="shared" si="0"/>
        <v>"17,5"</v>
      </c>
      <c r="H21" s="9">
        <v>1883</v>
      </c>
    </row>
    <row r="22" spans="1:8" ht="15" customHeight="1" x14ac:dyDescent="0.25">
      <c r="A22" s="9">
        <v>17</v>
      </c>
      <c r="D22" t="s">
        <v>1753</v>
      </c>
      <c r="E22" t="s">
        <v>1578</v>
      </c>
      <c r="F22" t="s">
        <v>1754</v>
      </c>
      <c r="G22" s="9" t="str">
        <f t="shared" si="0"/>
        <v>"17"</v>
      </c>
      <c r="H22" s="9">
        <v>1895</v>
      </c>
    </row>
    <row r="23" spans="1:8" ht="15" customHeight="1" x14ac:dyDescent="0.25">
      <c r="A23" s="9">
        <v>17</v>
      </c>
      <c r="D23" t="s">
        <v>1755</v>
      </c>
      <c r="E23" t="s">
        <v>1487</v>
      </c>
      <c r="F23" t="s">
        <v>1727</v>
      </c>
      <c r="G23" s="9" t="str">
        <f t="shared" si="0"/>
        <v>"17"</v>
      </c>
      <c r="H23" s="9">
        <v>1947</v>
      </c>
    </row>
    <row r="24" spans="1:8" ht="15" customHeight="1" x14ac:dyDescent="0.25">
      <c r="A24" s="9">
        <v>16.853000000000002</v>
      </c>
      <c r="D24" t="s">
        <v>1756</v>
      </c>
      <c r="E24" t="s">
        <v>1487</v>
      </c>
      <c r="F24" t="s">
        <v>1727</v>
      </c>
      <c r="G24" s="9" t="str">
        <f t="shared" si="0"/>
        <v>"16,853"</v>
      </c>
      <c r="H24" s="9">
        <v>1986</v>
      </c>
    </row>
    <row r="25" spans="1:8" ht="15" customHeight="1" x14ac:dyDescent="0.25">
      <c r="A25" s="9">
        <v>16</v>
      </c>
      <c r="D25" t="s">
        <v>1757</v>
      </c>
      <c r="E25" t="s">
        <v>1758</v>
      </c>
      <c r="F25" t="s">
        <v>1733</v>
      </c>
      <c r="G25" s="9" t="str">
        <f t="shared" si="0"/>
        <v>"16"</v>
      </c>
      <c r="H25" s="9">
        <v>1998</v>
      </c>
    </row>
    <row r="26" spans="1:8" ht="15" customHeight="1" x14ac:dyDescent="0.25">
      <c r="A26" s="9">
        <v>15.8</v>
      </c>
      <c r="D26" t="s">
        <v>1759</v>
      </c>
      <c r="E26" t="s">
        <v>81</v>
      </c>
      <c r="F26" t="s">
        <v>1730</v>
      </c>
      <c r="G26" s="9" t="str">
        <f t="shared" si="0"/>
        <v>"15,8"</v>
      </c>
      <c r="H26" s="9">
        <v>1935</v>
      </c>
    </row>
    <row r="27" spans="1:8" ht="15" customHeight="1" x14ac:dyDescent="0.25">
      <c r="A27" s="9">
        <v>15.4</v>
      </c>
      <c r="D27" t="s">
        <v>1760</v>
      </c>
      <c r="E27" t="s">
        <v>1522</v>
      </c>
      <c r="F27" t="s">
        <v>1761</v>
      </c>
      <c r="G27" s="9" t="str">
        <f t="shared" si="0"/>
        <v>"15,4"</v>
      </c>
      <c r="H27" s="9">
        <v>1819</v>
      </c>
    </row>
    <row r="28" spans="1:8" ht="15" customHeight="1" x14ac:dyDescent="0.25">
      <c r="A28" s="9">
        <v>15</v>
      </c>
      <c r="D28" t="s">
        <v>1762</v>
      </c>
      <c r="E28" t="s">
        <v>100</v>
      </c>
      <c r="F28" t="s">
        <v>1730</v>
      </c>
      <c r="G28" s="9" t="str">
        <f t="shared" si="0"/>
        <v>"15"</v>
      </c>
      <c r="H28" s="9">
        <v>1918</v>
      </c>
    </row>
    <row r="29" spans="1:8" ht="15" customHeight="1" x14ac:dyDescent="0.25">
      <c r="A29" s="9">
        <v>15</v>
      </c>
      <c r="D29" t="s">
        <v>1763</v>
      </c>
      <c r="E29" t="s">
        <v>1764</v>
      </c>
      <c r="F29" t="s">
        <v>1765</v>
      </c>
      <c r="G29" s="9" t="str">
        <f t="shared" si="0"/>
        <v>"15"</v>
      </c>
      <c r="H29" s="9">
        <v>1902</v>
      </c>
    </row>
    <row r="30" spans="1:8" ht="15" customHeight="1" x14ac:dyDescent="0.25">
      <c r="A30" s="9">
        <v>15</v>
      </c>
      <c r="D30" t="s">
        <v>1766</v>
      </c>
      <c r="E30" t="s">
        <v>1646</v>
      </c>
      <c r="F30" t="s">
        <v>1754</v>
      </c>
      <c r="G30" s="9" t="str">
        <f t="shared" si="0"/>
        <v>"15"</v>
      </c>
      <c r="H30" s="9">
        <v>1757</v>
      </c>
    </row>
    <row r="31" spans="1:8" ht="15" customHeight="1" x14ac:dyDescent="0.25">
      <c r="A31" s="9">
        <v>15</v>
      </c>
      <c r="D31" t="s">
        <v>1655</v>
      </c>
      <c r="E31" t="s">
        <v>61</v>
      </c>
      <c r="F31" t="s">
        <v>1730</v>
      </c>
      <c r="G31" s="9" t="str">
        <f t="shared" si="0"/>
        <v>"15"</v>
      </c>
      <c r="H31" s="9">
        <v>1876</v>
      </c>
    </row>
    <row r="32" spans="1:8" ht="15" customHeight="1" x14ac:dyDescent="0.25">
      <c r="A32" s="9">
        <v>15</v>
      </c>
      <c r="D32" t="s">
        <v>1767</v>
      </c>
      <c r="E32" t="s">
        <v>1768</v>
      </c>
      <c r="F32" t="s">
        <v>1769</v>
      </c>
      <c r="G32" s="9" t="str">
        <f t="shared" si="0"/>
        <v>"15"</v>
      </c>
      <c r="H32" s="9">
        <v>1951</v>
      </c>
    </row>
    <row r="33" spans="1:8" ht="15" customHeight="1" x14ac:dyDescent="0.25">
      <c r="A33" s="9">
        <v>15</v>
      </c>
      <c r="D33" t="s">
        <v>1770</v>
      </c>
      <c r="E33" t="s">
        <v>1771</v>
      </c>
      <c r="F33" t="s">
        <v>1729</v>
      </c>
      <c r="G33" s="9" t="str">
        <f t="shared" si="0"/>
        <v>"15"</v>
      </c>
      <c r="H33" s="9">
        <v>1954</v>
      </c>
    </row>
    <row r="34" spans="1:8" ht="15" customHeight="1" x14ac:dyDescent="0.25">
      <c r="A34" s="9">
        <v>14.9</v>
      </c>
      <c r="D34" t="s">
        <v>1772</v>
      </c>
      <c r="E34" t="s">
        <v>1773</v>
      </c>
      <c r="F34" t="s">
        <v>1730</v>
      </c>
      <c r="G34" s="9" t="str">
        <f t="shared" ref="G34:G65" si="1" xml:space="preserve"> """" &amp; A34 &amp; """"</f>
        <v>"14,9"</v>
      </c>
      <c r="H34" s="9">
        <v>2003</v>
      </c>
    </row>
    <row r="35" spans="1:8" ht="15" customHeight="1" x14ac:dyDescent="0.25">
      <c r="A35" s="9">
        <v>14.8</v>
      </c>
      <c r="D35" t="s">
        <v>1774</v>
      </c>
      <c r="E35" t="s">
        <v>139</v>
      </c>
      <c r="F35" t="s">
        <v>1730</v>
      </c>
      <c r="G35" s="9" t="str">
        <f t="shared" si="1"/>
        <v>"14,8"</v>
      </c>
      <c r="H35" s="9">
        <v>1903</v>
      </c>
    </row>
    <row r="36" spans="1:8" ht="15" customHeight="1" x14ac:dyDescent="0.25">
      <c r="A36" s="9">
        <v>14.756</v>
      </c>
      <c r="D36" t="s">
        <v>1775</v>
      </c>
      <c r="E36" t="s">
        <v>1522</v>
      </c>
      <c r="F36" t="s">
        <v>1761</v>
      </c>
      <c r="G36" s="9" t="str">
        <f t="shared" si="1"/>
        <v>"14,756"</v>
      </c>
      <c r="H36" s="9">
        <v>1992</v>
      </c>
    </row>
    <row r="37" spans="1:8" ht="15" customHeight="1" x14ac:dyDescent="0.25">
      <c r="A37" s="9">
        <v>14.144</v>
      </c>
      <c r="D37" t="s">
        <v>1776</v>
      </c>
      <c r="E37" t="s">
        <v>1777</v>
      </c>
      <c r="F37" t="s">
        <v>1738</v>
      </c>
      <c r="G37" s="9" t="str">
        <f t="shared" si="1"/>
        <v>"14,144"</v>
      </c>
      <c r="H37" s="9">
        <v>1969</v>
      </c>
    </row>
    <row r="38" spans="1:8" ht="15" customHeight="1" x14ac:dyDescent="0.25">
      <c r="A38" s="9">
        <v>14</v>
      </c>
      <c r="D38" t="s">
        <v>1778</v>
      </c>
      <c r="E38" t="s">
        <v>105</v>
      </c>
      <c r="F38" t="s">
        <v>1730</v>
      </c>
      <c r="G38" s="9" t="str">
        <f t="shared" si="1"/>
        <v>"14"</v>
      </c>
      <c r="H38" s="9">
        <v>1885</v>
      </c>
    </row>
    <row r="39" spans="1:8" ht="15" customHeight="1" x14ac:dyDescent="0.25">
      <c r="A39" s="9">
        <v>14</v>
      </c>
      <c r="D39" t="s">
        <v>1672</v>
      </c>
      <c r="E39" t="s">
        <v>1612</v>
      </c>
      <c r="F39" t="s">
        <v>1779</v>
      </c>
      <c r="G39" s="9" t="str">
        <f t="shared" si="1"/>
        <v>"14"</v>
      </c>
      <c r="H39" s="9">
        <v>1891</v>
      </c>
    </row>
    <row r="40" spans="1:8" ht="15" customHeight="1" x14ac:dyDescent="0.25">
      <c r="A40" s="9">
        <v>14</v>
      </c>
      <c r="D40" t="s">
        <v>1780</v>
      </c>
      <c r="E40" t="s">
        <v>1554</v>
      </c>
      <c r="F40" t="s">
        <v>1733</v>
      </c>
      <c r="G40" s="9" t="str">
        <f t="shared" si="1"/>
        <v>"14"</v>
      </c>
      <c r="H40" s="9">
        <v>2007</v>
      </c>
    </row>
    <row r="41" spans="1:8" ht="15" customHeight="1" x14ac:dyDescent="0.25">
      <c r="A41" s="9">
        <v>13.6</v>
      </c>
      <c r="D41" t="s">
        <v>1781</v>
      </c>
      <c r="E41" t="s">
        <v>1782</v>
      </c>
      <c r="F41" t="s">
        <v>1783</v>
      </c>
      <c r="G41" s="9" t="str">
        <f t="shared" si="1"/>
        <v>"13,6"</v>
      </c>
      <c r="H41" s="9">
        <v>1988</v>
      </c>
    </row>
    <row r="42" spans="1:8" ht="15" customHeight="1" x14ac:dyDescent="0.25">
      <c r="A42" s="9">
        <v>13.5</v>
      </c>
      <c r="D42" t="s">
        <v>1784</v>
      </c>
      <c r="E42" t="s">
        <v>1785</v>
      </c>
      <c r="F42" t="s">
        <v>1786</v>
      </c>
      <c r="G42" s="9" t="str">
        <f t="shared" si="1"/>
        <v>"13,5"</v>
      </c>
      <c r="H42" s="9">
        <v>1796</v>
      </c>
    </row>
    <row r="43" spans="1:8" ht="15" customHeight="1" x14ac:dyDescent="0.25">
      <c r="A43" s="9">
        <v>13.3</v>
      </c>
      <c r="D43" t="s">
        <v>1787</v>
      </c>
      <c r="E43" t="s">
        <v>74</v>
      </c>
      <c r="F43" t="s">
        <v>1730</v>
      </c>
      <c r="G43" s="9" t="str">
        <f t="shared" si="1"/>
        <v>"13,3"</v>
      </c>
      <c r="H43" s="9">
        <v>1883</v>
      </c>
    </row>
    <row r="44" spans="1:8" ht="15" customHeight="1" x14ac:dyDescent="0.25">
      <c r="A44" s="9">
        <v>13</v>
      </c>
      <c r="D44" t="s">
        <v>1788</v>
      </c>
      <c r="E44" t="s">
        <v>1789</v>
      </c>
      <c r="F44" t="s">
        <v>1790</v>
      </c>
      <c r="G44" s="9" t="str">
        <f t="shared" si="1"/>
        <v>"13"</v>
      </c>
      <c r="H44" s="9">
        <v>1855</v>
      </c>
    </row>
    <row r="45" spans="1:8" ht="15" customHeight="1" x14ac:dyDescent="0.25">
      <c r="A45" s="9">
        <v>13</v>
      </c>
      <c r="D45" t="s">
        <v>1791</v>
      </c>
      <c r="E45" t="s">
        <v>326</v>
      </c>
      <c r="F45" t="s">
        <v>1730</v>
      </c>
      <c r="G45" s="9" t="str">
        <f t="shared" si="1"/>
        <v>"13"</v>
      </c>
      <c r="H45" s="9">
        <v>1895</v>
      </c>
    </row>
    <row r="46" spans="1:8" ht="15" customHeight="1" x14ac:dyDescent="0.25">
      <c r="A46" s="9">
        <v>13</v>
      </c>
      <c r="D46" t="s">
        <v>1792</v>
      </c>
      <c r="E46" t="s">
        <v>1793</v>
      </c>
      <c r="F46" t="s">
        <v>1794</v>
      </c>
      <c r="G46" s="9" t="str">
        <f t="shared" si="1"/>
        <v>"13"</v>
      </c>
      <c r="H46" s="9">
        <v>1860</v>
      </c>
    </row>
    <row r="47" spans="1:8" ht="15" customHeight="1" x14ac:dyDescent="0.25">
      <c r="A47" s="9">
        <v>13</v>
      </c>
      <c r="D47" t="s">
        <v>1495</v>
      </c>
      <c r="E47" t="s">
        <v>1492</v>
      </c>
      <c r="F47" t="s">
        <v>1737</v>
      </c>
      <c r="G47" s="9" t="str">
        <f t="shared" si="1"/>
        <v>"13"</v>
      </c>
      <c r="H47" s="9">
        <v>1824</v>
      </c>
    </row>
    <row r="48" spans="1:8" ht="15" customHeight="1" x14ac:dyDescent="0.25">
      <c r="A48" s="9">
        <v>13</v>
      </c>
      <c r="D48" t="s">
        <v>1795</v>
      </c>
      <c r="E48" t="s">
        <v>1546</v>
      </c>
      <c r="F48" t="s">
        <v>1796</v>
      </c>
      <c r="G48" s="9" t="str">
        <f t="shared" si="1"/>
        <v>"13"</v>
      </c>
      <c r="H48" s="9">
        <v>1861</v>
      </c>
    </row>
    <row r="49" spans="1:8" ht="15" customHeight="1" x14ac:dyDescent="0.25">
      <c r="A49" s="9">
        <v>13</v>
      </c>
      <c r="D49" t="s">
        <v>1797</v>
      </c>
      <c r="E49" t="s">
        <v>1487</v>
      </c>
      <c r="F49" t="s">
        <v>1727</v>
      </c>
      <c r="G49" s="9" t="str">
        <f t="shared" si="1"/>
        <v>"13"</v>
      </c>
      <c r="H49" s="9">
        <v>2001</v>
      </c>
    </row>
    <row r="50" spans="1:8" ht="15" customHeight="1" x14ac:dyDescent="0.25">
      <c r="A50" s="9">
        <v>13</v>
      </c>
      <c r="D50" t="s">
        <v>1798</v>
      </c>
      <c r="E50" t="s">
        <v>1799</v>
      </c>
      <c r="F50" t="s">
        <v>1800</v>
      </c>
      <c r="G50" s="9" t="str">
        <f t="shared" si="1"/>
        <v>"13"</v>
      </c>
      <c r="H50" s="9">
        <v>1855</v>
      </c>
    </row>
    <row r="51" spans="1:8" ht="15" customHeight="1" x14ac:dyDescent="0.25">
      <c r="A51" s="9">
        <v>12.5</v>
      </c>
      <c r="D51" t="s">
        <v>1801</v>
      </c>
      <c r="E51" t="s">
        <v>111</v>
      </c>
      <c r="F51" t="s">
        <v>1730</v>
      </c>
      <c r="G51" s="9" t="str">
        <f t="shared" si="1"/>
        <v>"12,5"</v>
      </c>
      <c r="H51" s="9">
        <v>1934</v>
      </c>
    </row>
    <row r="52" spans="1:8" ht="15" customHeight="1" x14ac:dyDescent="0.25">
      <c r="A52" s="9">
        <v>12.427</v>
      </c>
      <c r="D52" t="s">
        <v>383</v>
      </c>
      <c r="E52" t="s">
        <v>1492</v>
      </c>
      <c r="F52" t="s">
        <v>1737</v>
      </c>
      <c r="G52" s="9" t="str">
        <f t="shared" si="1"/>
        <v>"12,427"</v>
      </c>
      <c r="H52" s="9">
        <v>2000</v>
      </c>
    </row>
    <row r="53" spans="1:8" ht="15" customHeight="1" x14ac:dyDescent="0.25">
      <c r="A53" s="9">
        <v>12.4</v>
      </c>
      <c r="D53" t="s">
        <v>1802</v>
      </c>
      <c r="E53" t="s">
        <v>137</v>
      </c>
      <c r="F53" t="s">
        <v>1730</v>
      </c>
      <c r="G53" s="9" t="str">
        <f t="shared" si="1"/>
        <v>"12,4"</v>
      </c>
      <c r="H53" s="9">
        <v>1913</v>
      </c>
    </row>
    <row r="54" spans="1:8" ht="15" customHeight="1" x14ac:dyDescent="0.25">
      <c r="A54" s="9">
        <v>12.4</v>
      </c>
      <c r="D54" t="s">
        <v>1803</v>
      </c>
      <c r="E54" t="s">
        <v>1804</v>
      </c>
      <c r="F54" t="s">
        <v>1794</v>
      </c>
      <c r="G54" s="9" t="str">
        <f t="shared" si="1"/>
        <v>"12,4"</v>
      </c>
      <c r="H54" s="9">
        <v>1880</v>
      </c>
    </row>
    <row r="55" spans="1:8" ht="15" customHeight="1" x14ac:dyDescent="0.25">
      <c r="A55" s="9">
        <v>12</v>
      </c>
      <c r="D55" t="s">
        <v>1805</v>
      </c>
      <c r="E55" t="s">
        <v>1806</v>
      </c>
      <c r="F55" t="s">
        <v>1790</v>
      </c>
      <c r="G55" s="9" t="str">
        <f t="shared" si="1"/>
        <v>"12"</v>
      </c>
      <c r="H55" s="9">
        <v>1869</v>
      </c>
    </row>
    <row r="56" spans="1:8" ht="15" customHeight="1" x14ac:dyDescent="0.25">
      <c r="A56" s="9">
        <v>12</v>
      </c>
      <c r="D56" t="s">
        <v>1807</v>
      </c>
      <c r="E56" t="s">
        <v>1808</v>
      </c>
      <c r="F56" t="s">
        <v>1809</v>
      </c>
      <c r="G56" s="9" t="str">
        <f t="shared" si="1"/>
        <v>"12"</v>
      </c>
      <c r="H56" s="9">
        <v>1849</v>
      </c>
    </row>
    <row r="57" spans="1:8" ht="15" customHeight="1" x14ac:dyDescent="0.25">
      <c r="A57" s="9">
        <v>12</v>
      </c>
      <c r="D57" t="s">
        <v>1810</v>
      </c>
      <c r="E57" t="s">
        <v>71</v>
      </c>
      <c r="F57" t="s">
        <v>1730</v>
      </c>
      <c r="G57" s="9" t="str">
        <f t="shared" si="1"/>
        <v>"12"</v>
      </c>
      <c r="H57" s="9">
        <v>1900</v>
      </c>
    </row>
    <row r="58" spans="1:8" ht="15" customHeight="1" x14ac:dyDescent="0.25">
      <c r="A58" s="9">
        <v>12</v>
      </c>
      <c r="D58" t="s">
        <v>1811</v>
      </c>
      <c r="E58" t="s">
        <v>1812</v>
      </c>
      <c r="F58" t="s">
        <v>1800</v>
      </c>
      <c r="G58" s="9" t="str">
        <f t="shared" si="1"/>
        <v>"12"</v>
      </c>
      <c r="H58" s="9">
        <v>1954</v>
      </c>
    </row>
    <row r="59" spans="1:8" ht="15" customHeight="1" x14ac:dyDescent="0.25">
      <c r="A59" s="9">
        <v>12</v>
      </c>
      <c r="D59" t="s">
        <v>1813</v>
      </c>
      <c r="E59" t="s">
        <v>1814</v>
      </c>
      <c r="F59" t="s">
        <v>1727</v>
      </c>
      <c r="G59" s="9" t="str">
        <f t="shared" si="1"/>
        <v>"12"</v>
      </c>
      <c r="H59" s="9">
        <v>1809</v>
      </c>
    </row>
    <row r="60" spans="1:8" ht="15" customHeight="1" x14ac:dyDescent="0.25">
      <c r="A60" s="9">
        <v>12</v>
      </c>
      <c r="D60" t="s">
        <v>1815</v>
      </c>
      <c r="E60" t="s">
        <v>1789</v>
      </c>
      <c r="F60" t="s">
        <v>1790</v>
      </c>
      <c r="G60" s="9" t="str">
        <f t="shared" si="1"/>
        <v>"12"</v>
      </c>
      <c r="H60" s="9">
        <v>2002</v>
      </c>
    </row>
    <row r="61" spans="1:8" ht="15" customHeight="1" x14ac:dyDescent="0.25">
      <c r="A61" s="9">
        <v>12</v>
      </c>
      <c r="D61" t="s">
        <v>1642</v>
      </c>
      <c r="E61" t="s">
        <v>1559</v>
      </c>
      <c r="F61" t="s">
        <v>1809</v>
      </c>
      <c r="G61" s="9" t="str">
        <f t="shared" si="1"/>
        <v>"12"</v>
      </c>
      <c r="H61" s="9">
        <v>1800</v>
      </c>
    </row>
    <row r="62" spans="1:8" ht="15" customHeight="1" x14ac:dyDescent="0.25">
      <c r="A62" s="9">
        <v>12</v>
      </c>
      <c r="D62" t="s">
        <v>1816</v>
      </c>
      <c r="E62" t="s">
        <v>1540</v>
      </c>
      <c r="F62" t="s">
        <v>1728</v>
      </c>
      <c r="G62" s="9" t="str">
        <f t="shared" si="1"/>
        <v>"12"</v>
      </c>
      <c r="H62" s="9">
        <v>1985</v>
      </c>
    </row>
    <row r="63" spans="1:8" ht="15" customHeight="1" x14ac:dyDescent="0.25">
      <c r="A63" s="9">
        <v>11.9</v>
      </c>
      <c r="D63" t="s">
        <v>1817</v>
      </c>
      <c r="E63" t="s">
        <v>193</v>
      </c>
      <c r="F63" t="s">
        <v>1730</v>
      </c>
      <c r="G63" s="9" t="str">
        <f t="shared" si="1"/>
        <v>"11,9"</v>
      </c>
      <c r="H63" s="9">
        <v>1882</v>
      </c>
    </row>
    <row r="64" spans="1:8" ht="15" customHeight="1" x14ac:dyDescent="0.25">
      <c r="A64" s="9">
        <v>11.7</v>
      </c>
      <c r="D64" t="s">
        <v>1818</v>
      </c>
      <c r="E64" t="s">
        <v>322</v>
      </c>
      <c r="F64" t="s">
        <v>1783</v>
      </c>
      <c r="G64" s="9" t="str">
        <f t="shared" si="1"/>
        <v>"11,7"</v>
      </c>
      <c r="H64" s="9">
        <v>1983</v>
      </c>
    </row>
    <row r="65" spans="1:8" ht="15" customHeight="1" x14ac:dyDescent="0.25">
      <c r="A65" s="9">
        <v>11.6</v>
      </c>
      <c r="D65" t="s">
        <v>1517</v>
      </c>
      <c r="E65" t="s">
        <v>326</v>
      </c>
      <c r="F65" t="s">
        <v>1730</v>
      </c>
      <c r="G65" s="9" t="str">
        <f t="shared" si="1"/>
        <v>"11,6"</v>
      </c>
      <c r="H65" s="9">
        <v>1929</v>
      </c>
    </row>
    <row r="66" spans="1:8" ht="15" customHeight="1" x14ac:dyDescent="0.25">
      <c r="A66" s="9">
        <v>11.5</v>
      </c>
      <c r="D66" t="s">
        <v>1662</v>
      </c>
      <c r="E66" t="s">
        <v>1628</v>
      </c>
      <c r="F66" t="s">
        <v>1794</v>
      </c>
      <c r="G66" s="9" t="str">
        <f t="shared" ref="G66:G97" si="2" xml:space="preserve"> """" &amp; A66 &amp; """"</f>
        <v>"11,5"</v>
      </c>
      <c r="H66" s="9">
        <v>1900</v>
      </c>
    </row>
    <row r="67" spans="1:8" ht="15" customHeight="1" x14ac:dyDescent="0.25">
      <c r="A67" s="9">
        <v>11</v>
      </c>
      <c r="D67" t="s">
        <v>1597</v>
      </c>
      <c r="E67" t="s">
        <v>1598</v>
      </c>
      <c r="F67" t="s">
        <v>1796</v>
      </c>
      <c r="G67" s="9" t="str">
        <f t="shared" si="2"/>
        <v>"11"</v>
      </c>
      <c r="H67" s="9">
        <v>1874</v>
      </c>
    </row>
    <row r="68" spans="1:8" ht="15" customHeight="1" x14ac:dyDescent="0.25">
      <c r="A68" s="9">
        <v>11</v>
      </c>
      <c r="D68" t="s">
        <v>1819</v>
      </c>
      <c r="E68" t="s">
        <v>1649</v>
      </c>
      <c r="F68" t="s">
        <v>1754</v>
      </c>
      <c r="G68" s="9" t="str">
        <f t="shared" si="2"/>
        <v>"11"</v>
      </c>
      <c r="H68" s="9">
        <v>1734</v>
      </c>
    </row>
    <row r="69" spans="1:8" ht="15" customHeight="1" x14ac:dyDescent="0.25">
      <c r="A69" s="9">
        <v>11</v>
      </c>
      <c r="D69" t="s">
        <v>1820</v>
      </c>
      <c r="E69" t="s">
        <v>1607</v>
      </c>
      <c r="F69" t="s">
        <v>1754</v>
      </c>
      <c r="G69" s="9" t="str">
        <f t="shared" si="2"/>
        <v>"11"</v>
      </c>
      <c r="H69" s="9">
        <v>1993</v>
      </c>
    </row>
    <row r="70" spans="1:8" ht="15" customHeight="1" x14ac:dyDescent="0.25">
      <c r="A70" s="9">
        <v>11</v>
      </c>
      <c r="D70" t="s">
        <v>381</v>
      </c>
      <c r="E70" t="s">
        <v>1633</v>
      </c>
      <c r="F70" t="s">
        <v>1761</v>
      </c>
      <c r="G70" s="9" t="str">
        <f t="shared" si="2"/>
        <v>"11"</v>
      </c>
      <c r="H70" s="9">
        <v>1997</v>
      </c>
    </row>
    <row r="71" spans="1:8" ht="15" customHeight="1" x14ac:dyDescent="0.25">
      <c r="A71" s="9">
        <v>11</v>
      </c>
      <c r="D71" t="s">
        <v>1821</v>
      </c>
      <c r="E71" t="s">
        <v>156</v>
      </c>
      <c r="F71" t="s">
        <v>1730</v>
      </c>
      <c r="G71" s="9" t="str">
        <f t="shared" si="2"/>
        <v>"11"</v>
      </c>
      <c r="H71" s="9">
        <v>1910</v>
      </c>
    </row>
    <row r="72" spans="1:8" ht="15" customHeight="1" x14ac:dyDescent="0.25">
      <c r="A72" s="9">
        <v>11</v>
      </c>
      <c r="D72" t="s">
        <v>1822</v>
      </c>
      <c r="E72" t="s">
        <v>1768</v>
      </c>
      <c r="F72" t="s">
        <v>1769</v>
      </c>
      <c r="G72" s="9" t="str">
        <f t="shared" si="2"/>
        <v>"11"</v>
      </c>
      <c r="H72" s="9">
        <v>1963</v>
      </c>
    </row>
    <row r="73" spans="1:8" ht="15" customHeight="1" x14ac:dyDescent="0.25">
      <c r="A73" s="9">
        <v>11</v>
      </c>
      <c r="D73" t="s">
        <v>1823</v>
      </c>
      <c r="E73" t="s">
        <v>1572</v>
      </c>
      <c r="F73" t="s">
        <v>1790</v>
      </c>
      <c r="G73" s="9" t="str">
        <f t="shared" si="2"/>
        <v>"11"</v>
      </c>
      <c r="H73" s="9">
        <v>1910</v>
      </c>
    </row>
    <row r="74" spans="1:8" ht="15" customHeight="1" x14ac:dyDescent="0.25">
      <c r="A74" s="9">
        <v>11</v>
      </c>
      <c r="D74" t="s">
        <v>1824</v>
      </c>
      <c r="E74" t="s">
        <v>1825</v>
      </c>
      <c r="F74" t="s">
        <v>1729</v>
      </c>
      <c r="G74" s="9" t="str">
        <f t="shared" si="2"/>
        <v>"11"</v>
      </c>
      <c r="H74" s="9">
        <v>1991</v>
      </c>
    </row>
    <row r="75" spans="1:8" ht="15" customHeight="1" x14ac:dyDescent="0.25">
      <c r="A75" s="9">
        <v>10.9</v>
      </c>
      <c r="D75" t="s">
        <v>1826</v>
      </c>
      <c r="E75" t="s">
        <v>1607</v>
      </c>
      <c r="F75" t="s">
        <v>1754</v>
      </c>
      <c r="G75" s="9" t="str">
        <f t="shared" si="2"/>
        <v>"10,9"</v>
      </c>
      <c r="H75" s="9">
        <v>2012</v>
      </c>
    </row>
    <row r="76" spans="1:8" ht="15" customHeight="1" x14ac:dyDescent="0.25">
      <c r="A76" s="9">
        <v>10.5</v>
      </c>
      <c r="D76" t="s">
        <v>1660</v>
      </c>
      <c r="E76" t="s">
        <v>1616</v>
      </c>
      <c r="F76" t="s">
        <v>1761</v>
      </c>
      <c r="G76" s="9" t="str">
        <f t="shared" si="2"/>
        <v>"10,5"</v>
      </c>
      <c r="H76" s="9">
        <v>1934</v>
      </c>
    </row>
    <row r="77" spans="1:8" ht="15" customHeight="1" x14ac:dyDescent="0.25">
      <c r="A77" s="9">
        <v>10.5</v>
      </c>
      <c r="D77" t="s">
        <v>1827</v>
      </c>
      <c r="E77" t="s">
        <v>1828</v>
      </c>
      <c r="F77" t="s">
        <v>1729</v>
      </c>
      <c r="G77" s="9" t="str">
        <f t="shared" si="2"/>
        <v>"10,5"</v>
      </c>
      <c r="H77" s="9">
        <v>1999</v>
      </c>
    </row>
    <row r="78" spans="1:8" ht="15" customHeight="1" x14ac:dyDescent="0.25">
      <c r="A78" s="9">
        <v>10.4</v>
      </c>
      <c r="D78" t="s">
        <v>1829</v>
      </c>
      <c r="E78" t="s">
        <v>1830</v>
      </c>
      <c r="F78" t="s">
        <v>1730</v>
      </c>
      <c r="G78" s="9" t="str">
        <f t="shared" si="2"/>
        <v>"10,4"</v>
      </c>
      <c r="H78" s="9">
        <v>1892</v>
      </c>
    </row>
    <row r="79" spans="1:8" ht="15" customHeight="1" x14ac:dyDescent="0.25">
      <c r="A79" s="9">
        <v>10</v>
      </c>
      <c r="D79" t="s">
        <v>1831</v>
      </c>
      <c r="E79" t="s">
        <v>63</v>
      </c>
      <c r="F79" t="s">
        <v>1730</v>
      </c>
      <c r="G79" s="9" t="str">
        <f t="shared" si="2"/>
        <v>"10"</v>
      </c>
      <c r="H79" s="9">
        <v>1896</v>
      </c>
    </row>
    <row r="80" spans="1:8" ht="15" customHeight="1" x14ac:dyDescent="0.25">
      <c r="A80" s="9">
        <v>10</v>
      </c>
      <c r="D80" t="s">
        <v>1832</v>
      </c>
      <c r="E80" t="s">
        <v>1572</v>
      </c>
      <c r="F80" t="s">
        <v>1790</v>
      </c>
      <c r="G80" s="9" t="str">
        <f t="shared" si="2"/>
        <v>"10"</v>
      </c>
      <c r="H80" s="9">
        <v>1996</v>
      </c>
    </row>
    <row r="81" spans="1:8" ht="15" customHeight="1" x14ac:dyDescent="0.25">
      <c r="A81" s="9">
        <v>10</v>
      </c>
      <c r="D81" t="s">
        <v>1833</v>
      </c>
      <c r="E81" t="s">
        <v>1834</v>
      </c>
      <c r="F81" t="s">
        <v>1835</v>
      </c>
      <c r="G81" s="9" t="str">
        <f t="shared" si="2"/>
        <v>"10"</v>
      </c>
      <c r="H81" s="9">
        <v>1936</v>
      </c>
    </row>
    <row r="82" spans="1:8" x14ac:dyDescent="0.25">
      <c r="A82" s="9">
        <v>10</v>
      </c>
      <c r="D82" t="s">
        <v>1836</v>
      </c>
      <c r="E82" t="s">
        <v>1649</v>
      </c>
      <c r="F82" t="s">
        <v>1754</v>
      </c>
      <c r="G82" s="9" t="str">
        <f t="shared" si="2"/>
        <v>"10"</v>
      </c>
      <c r="H82" s="9">
        <v>2010</v>
      </c>
    </row>
    <row r="83" spans="1:8" ht="15" customHeight="1" x14ac:dyDescent="0.25">
      <c r="A83" s="9">
        <v>10</v>
      </c>
      <c r="D83" t="s">
        <v>1837</v>
      </c>
      <c r="E83" t="s">
        <v>1838</v>
      </c>
      <c r="F83" t="s">
        <v>1754</v>
      </c>
      <c r="G83" s="9" t="str">
        <f t="shared" si="2"/>
        <v>"10"</v>
      </c>
      <c r="H83" s="9">
        <v>1824</v>
      </c>
    </row>
    <row r="84" spans="1:8" ht="15" customHeight="1" x14ac:dyDescent="0.25">
      <c r="A84" s="9">
        <v>10</v>
      </c>
      <c r="D84" t="s">
        <v>1839</v>
      </c>
      <c r="E84" t="s">
        <v>1840</v>
      </c>
      <c r="F84" t="s">
        <v>1790</v>
      </c>
      <c r="G84" s="9" t="str">
        <f t="shared" si="2"/>
        <v>"10"</v>
      </c>
      <c r="H84" s="9">
        <v>1913</v>
      </c>
    </row>
    <row r="85" spans="1:8" ht="15" customHeight="1" x14ac:dyDescent="0.25">
      <c r="A85" s="9">
        <v>10</v>
      </c>
      <c r="D85" t="s">
        <v>1841</v>
      </c>
      <c r="E85" t="s">
        <v>1510</v>
      </c>
      <c r="F85" t="s">
        <v>1738</v>
      </c>
      <c r="G85" s="9" t="str">
        <f t="shared" si="2"/>
        <v>"10"</v>
      </c>
      <c r="H85" s="9">
        <v>2013</v>
      </c>
    </row>
    <row r="86" spans="1:8" ht="15" customHeight="1" x14ac:dyDescent="0.25">
      <c r="A86" s="9">
        <v>10</v>
      </c>
      <c r="D86" t="s">
        <v>1842</v>
      </c>
      <c r="E86" t="s">
        <v>1843</v>
      </c>
      <c r="F86" t="s">
        <v>1844</v>
      </c>
      <c r="G86" s="9" t="str">
        <f t="shared" si="2"/>
        <v>"10"</v>
      </c>
      <c r="H86" s="9">
        <v>1857</v>
      </c>
    </row>
    <row r="87" spans="1:8" ht="15" customHeight="1" x14ac:dyDescent="0.25">
      <c r="A87" s="9">
        <v>10</v>
      </c>
      <c r="D87" t="s">
        <v>1609</v>
      </c>
      <c r="E87" t="s">
        <v>1845</v>
      </c>
      <c r="F87" t="s">
        <v>1728</v>
      </c>
      <c r="G87" s="9" t="str">
        <f t="shared" si="2"/>
        <v>"10"</v>
      </c>
      <c r="H87" s="9">
        <v>1895</v>
      </c>
    </row>
    <row r="88" spans="1:8" ht="15" customHeight="1" x14ac:dyDescent="0.25">
      <c r="A88" s="9">
        <v>10</v>
      </c>
      <c r="D88" t="s">
        <v>1846</v>
      </c>
      <c r="E88" t="s">
        <v>1847</v>
      </c>
      <c r="F88" t="s">
        <v>1730</v>
      </c>
      <c r="G88" s="9" t="str">
        <f t="shared" si="2"/>
        <v>"10"</v>
      </c>
      <c r="H88" s="9">
        <v>1881</v>
      </c>
    </row>
    <row r="89" spans="1:8" ht="15" customHeight="1" x14ac:dyDescent="0.25">
      <c r="A89" s="9">
        <v>10</v>
      </c>
      <c r="D89" t="s">
        <v>1848</v>
      </c>
      <c r="E89" t="s">
        <v>1607</v>
      </c>
      <c r="F89" t="s">
        <v>1754</v>
      </c>
      <c r="G89" s="9" t="str">
        <f t="shared" si="2"/>
        <v>"10"</v>
      </c>
      <c r="H89" s="9">
        <v>1896</v>
      </c>
    </row>
    <row r="90" spans="1:8" ht="15" customHeight="1" x14ac:dyDescent="0.25">
      <c r="A90" s="9">
        <v>10</v>
      </c>
      <c r="D90" t="s">
        <v>1668</v>
      </c>
      <c r="E90" t="s">
        <v>1669</v>
      </c>
      <c r="F90" t="s">
        <v>1748</v>
      </c>
      <c r="G90" s="9" t="str">
        <f t="shared" si="2"/>
        <v>"10"</v>
      </c>
      <c r="H90" s="9">
        <v>1932</v>
      </c>
    </row>
    <row r="91" spans="1:8" ht="15" customHeight="1" x14ac:dyDescent="0.25">
      <c r="A91" s="9">
        <v>9.6129999999999995</v>
      </c>
      <c r="D91" t="s">
        <v>1500</v>
      </c>
      <c r="E91" t="s">
        <v>322</v>
      </c>
      <c r="F91" t="s">
        <v>1783</v>
      </c>
      <c r="G91" s="9" t="str">
        <f t="shared" si="2"/>
        <v>"9,613"</v>
      </c>
      <c r="H91" s="9">
        <v>1925</v>
      </c>
    </row>
    <row r="92" spans="1:8" ht="15" customHeight="1" x14ac:dyDescent="0.25">
      <c r="A92" s="9">
        <v>9.3000000000000007</v>
      </c>
      <c r="D92" t="s">
        <v>1849</v>
      </c>
      <c r="E92" t="s">
        <v>1522</v>
      </c>
      <c r="F92" t="s">
        <v>1761</v>
      </c>
      <c r="G92" s="9" t="str">
        <f t="shared" si="2"/>
        <v>"9,3"</v>
      </c>
      <c r="H92" s="9">
        <v>1867</v>
      </c>
    </row>
    <row r="93" spans="1:8" ht="15" customHeight="1" x14ac:dyDescent="0.25">
      <c r="A93" s="9">
        <v>9.3000000000000007</v>
      </c>
      <c r="D93" t="s">
        <v>1850</v>
      </c>
      <c r="E93" t="s">
        <v>1851</v>
      </c>
      <c r="F93" t="s">
        <v>1727</v>
      </c>
      <c r="G93" s="9" t="str">
        <f t="shared" si="2"/>
        <v>"9,3"</v>
      </c>
      <c r="H93" s="9">
        <v>1828</v>
      </c>
    </row>
    <row r="94" spans="1:8" ht="15" customHeight="1" x14ac:dyDescent="0.25">
      <c r="A94" s="9">
        <v>9</v>
      </c>
      <c r="D94" t="s">
        <v>1852</v>
      </c>
      <c r="E94" t="s">
        <v>1853</v>
      </c>
      <c r="F94" t="s">
        <v>1854</v>
      </c>
      <c r="G94" s="9" t="str">
        <f t="shared" si="2"/>
        <v>"9"</v>
      </c>
      <c r="H94" s="9">
        <v>1888</v>
      </c>
    </row>
    <row r="95" spans="1:8" ht="15" customHeight="1" x14ac:dyDescent="0.25">
      <c r="A95" s="9">
        <v>9</v>
      </c>
      <c r="D95" t="s">
        <v>1855</v>
      </c>
      <c r="E95" t="s">
        <v>1487</v>
      </c>
      <c r="F95" t="s">
        <v>1727</v>
      </c>
      <c r="G95" s="9" t="str">
        <f t="shared" si="2"/>
        <v>"9"</v>
      </c>
      <c r="H95" s="9">
        <v>1879</v>
      </c>
    </row>
    <row r="96" spans="1:8" ht="15" customHeight="1" x14ac:dyDescent="0.25">
      <c r="A96" s="9">
        <v>9</v>
      </c>
      <c r="D96" t="s">
        <v>1856</v>
      </c>
      <c r="E96" t="s">
        <v>1812</v>
      </c>
      <c r="F96" t="s">
        <v>1800</v>
      </c>
      <c r="G96" s="9" t="str">
        <f t="shared" si="2"/>
        <v>"9"</v>
      </c>
      <c r="H96" s="9">
        <v>1809</v>
      </c>
    </row>
    <row r="97" spans="1:8" ht="15" customHeight="1" x14ac:dyDescent="0.25">
      <c r="A97" s="9">
        <v>9</v>
      </c>
      <c r="D97" t="s">
        <v>1495</v>
      </c>
      <c r="E97" t="s">
        <v>1857</v>
      </c>
      <c r="F97" t="s">
        <v>1858</v>
      </c>
      <c r="G97" s="9" t="str">
        <f t="shared" si="2"/>
        <v>"9"</v>
      </c>
      <c r="H97" s="9">
        <v>1842</v>
      </c>
    </row>
    <row r="98" spans="1:8" ht="15" customHeight="1" x14ac:dyDescent="0.25">
      <c r="A98" s="9">
        <v>9</v>
      </c>
      <c r="D98" t="s">
        <v>1859</v>
      </c>
      <c r="E98" t="s">
        <v>328</v>
      </c>
      <c r="F98" t="s">
        <v>1729</v>
      </c>
      <c r="G98" s="9" t="str">
        <f t="shared" ref="G98:G117" si="3" xml:space="preserve"> """" &amp; A98 &amp; """"</f>
        <v>"9"</v>
      </c>
      <c r="H98" s="9">
        <v>2012</v>
      </c>
    </row>
    <row r="99" spans="1:8" ht="15" customHeight="1" x14ac:dyDescent="0.25">
      <c r="A99" s="9">
        <v>8.8000000000000007</v>
      </c>
      <c r="D99" t="s">
        <v>1860</v>
      </c>
      <c r="E99" t="s">
        <v>1503</v>
      </c>
      <c r="F99" t="s">
        <v>1730</v>
      </c>
      <c r="G99" s="9" t="str">
        <f t="shared" si="3"/>
        <v>"8,8"</v>
      </c>
      <c r="H99" s="9">
        <v>1829</v>
      </c>
    </row>
    <row r="100" spans="1:8" ht="15" customHeight="1" x14ac:dyDescent="0.25">
      <c r="A100" s="9">
        <v>8.75</v>
      </c>
      <c r="D100" t="s">
        <v>1861</v>
      </c>
      <c r="E100" t="s">
        <v>1487</v>
      </c>
      <c r="F100" t="s">
        <v>1727</v>
      </c>
      <c r="G100" s="9" t="str">
        <f t="shared" si="3"/>
        <v>"8,75"</v>
      </c>
      <c r="H100" s="9">
        <v>2006</v>
      </c>
    </row>
    <row r="101" spans="1:8" ht="15" customHeight="1" x14ac:dyDescent="0.25">
      <c r="A101" s="9">
        <v>8.5</v>
      </c>
      <c r="D101" t="s">
        <v>1862</v>
      </c>
      <c r="E101" t="s">
        <v>1863</v>
      </c>
      <c r="F101" t="s">
        <v>1729</v>
      </c>
      <c r="G101" s="9" t="str">
        <f t="shared" si="3"/>
        <v>"8,5"</v>
      </c>
      <c r="H101" s="9">
        <v>1949</v>
      </c>
    </row>
    <row r="102" spans="1:8" ht="15" customHeight="1" x14ac:dyDescent="0.25">
      <c r="A102" s="9">
        <v>8.3000000000000007</v>
      </c>
      <c r="D102" t="s">
        <v>1864</v>
      </c>
      <c r="E102" t="s">
        <v>1607</v>
      </c>
      <c r="F102" t="s">
        <v>1754</v>
      </c>
      <c r="G102" s="9" t="str">
        <f t="shared" si="3"/>
        <v>"8,3"</v>
      </c>
      <c r="H102" s="9">
        <v>2011</v>
      </c>
    </row>
    <row r="103" spans="1:8" ht="15" customHeight="1" x14ac:dyDescent="0.25">
      <c r="A103" s="9">
        <v>8.3000000000000007</v>
      </c>
      <c r="D103" t="s">
        <v>1618</v>
      </c>
      <c r="E103" t="s">
        <v>1619</v>
      </c>
      <c r="F103" t="s">
        <v>1729</v>
      </c>
      <c r="G103" s="9" t="str">
        <f t="shared" si="3"/>
        <v>"8,3"</v>
      </c>
      <c r="H103" s="9">
        <v>1958</v>
      </c>
    </row>
    <row r="104" spans="1:8" ht="15" customHeight="1" x14ac:dyDescent="0.25">
      <c r="A104" s="9">
        <v>8</v>
      </c>
      <c r="D104" t="s">
        <v>1535</v>
      </c>
      <c r="E104" t="s">
        <v>1536</v>
      </c>
      <c r="F104" t="s">
        <v>1754</v>
      </c>
      <c r="G104" s="9" t="str">
        <f t="shared" si="3"/>
        <v>"8"</v>
      </c>
      <c r="H104" s="9">
        <v>1581</v>
      </c>
    </row>
    <row r="105" spans="1:8" ht="15" customHeight="1" x14ac:dyDescent="0.25">
      <c r="A105" s="9">
        <v>8</v>
      </c>
      <c r="D105" t="s">
        <v>1865</v>
      </c>
      <c r="E105" t="s">
        <v>1649</v>
      </c>
      <c r="F105" t="s">
        <v>1754</v>
      </c>
      <c r="G105" s="9" t="str">
        <f t="shared" si="3"/>
        <v>"8"</v>
      </c>
      <c r="H105" s="9">
        <v>1883</v>
      </c>
    </row>
    <row r="106" spans="1:8" ht="15" customHeight="1" x14ac:dyDescent="0.25">
      <c r="A106" s="9">
        <v>8</v>
      </c>
      <c r="D106" t="s">
        <v>1866</v>
      </c>
      <c r="E106" t="s">
        <v>1572</v>
      </c>
      <c r="F106" t="s">
        <v>1790</v>
      </c>
      <c r="G106" s="9" t="str">
        <f t="shared" si="3"/>
        <v>"8"</v>
      </c>
      <c r="H106" s="9">
        <v>1830</v>
      </c>
    </row>
    <row r="107" spans="1:8" ht="15" customHeight="1" x14ac:dyDescent="0.25">
      <c r="A107" s="9">
        <v>8</v>
      </c>
      <c r="D107" t="s">
        <v>1867</v>
      </c>
      <c r="E107" t="s">
        <v>1868</v>
      </c>
      <c r="F107" t="s">
        <v>1869</v>
      </c>
      <c r="G107" s="9" t="str">
        <f t="shared" si="3"/>
        <v>"8"</v>
      </c>
      <c r="H107" s="9">
        <v>2017</v>
      </c>
    </row>
    <row r="108" spans="1:8" ht="15" customHeight="1" x14ac:dyDescent="0.25">
      <c r="A108" s="9">
        <v>8</v>
      </c>
      <c r="D108" t="s">
        <v>1870</v>
      </c>
      <c r="E108" t="s">
        <v>1871</v>
      </c>
      <c r="F108" t="s">
        <v>1790</v>
      </c>
      <c r="G108" s="9" t="str">
        <f t="shared" si="3"/>
        <v>"8"</v>
      </c>
      <c r="H108" s="9">
        <v>1976</v>
      </c>
    </row>
    <row r="109" spans="1:8" ht="15" customHeight="1" x14ac:dyDescent="0.25">
      <c r="A109" s="9">
        <v>8</v>
      </c>
      <c r="D109" t="s">
        <v>1673</v>
      </c>
      <c r="E109" t="s">
        <v>1572</v>
      </c>
      <c r="F109" t="s">
        <v>1790</v>
      </c>
      <c r="G109" s="9" t="str">
        <f t="shared" si="3"/>
        <v>"8"</v>
      </c>
      <c r="H109" s="9">
        <v>1855</v>
      </c>
    </row>
    <row r="110" spans="1:8" x14ac:dyDescent="0.25">
      <c r="A110" s="9">
        <v>8</v>
      </c>
      <c r="D110" t="s">
        <v>1872</v>
      </c>
      <c r="E110" t="s">
        <v>1487</v>
      </c>
      <c r="F110" t="s">
        <v>1727</v>
      </c>
      <c r="G110" s="9" t="str">
        <f t="shared" si="3"/>
        <v>"8"</v>
      </c>
      <c r="H110" s="9">
        <v>1902</v>
      </c>
    </row>
    <row r="111" spans="1:8" ht="15" customHeight="1" x14ac:dyDescent="0.25">
      <c r="A111" s="9">
        <v>8</v>
      </c>
      <c r="D111" t="s">
        <v>1873</v>
      </c>
      <c r="E111" t="s">
        <v>1540</v>
      </c>
      <c r="F111" t="s">
        <v>1728</v>
      </c>
      <c r="G111" s="9" t="str">
        <f t="shared" si="3"/>
        <v>"8"</v>
      </c>
      <c r="H111" s="9">
        <v>1898</v>
      </c>
    </row>
    <row r="112" spans="1:8" ht="15" customHeight="1" x14ac:dyDescent="0.25">
      <c r="A112" s="9">
        <v>8</v>
      </c>
      <c r="D112" t="s">
        <v>1874</v>
      </c>
      <c r="E112" t="s">
        <v>1559</v>
      </c>
      <c r="F112" t="s">
        <v>1809</v>
      </c>
      <c r="G112" s="9" t="str">
        <f t="shared" si="3"/>
        <v>"8"</v>
      </c>
      <c r="H112" s="9">
        <v>1874</v>
      </c>
    </row>
    <row r="113" spans="1:8" ht="15" customHeight="1" x14ac:dyDescent="0.25">
      <c r="A113" s="9">
        <v>8</v>
      </c>
      <c r="D113" t="s">
        <v>1875</v>
      </c>
      <c r="E113" t="s">
        <v>1522</v>
      </c>
      <c r="F113" t="s">
        <v>1761</v>
      </c>
      <c r="G113" s="9" t="str">
        <f t="shared" si="3"/>
        <v>"8"</v>
      </c>
      <c r="H113" s="9">
        <v>1992</v>
      </c>
    </row>
    <row r="114" spans="1:8" ht="15" customHeight="1" x14ac:dyDescent="0.25">
      <c r="A114" s="9">
        <v>8</v>
      </c>
      <c r="D114" t="s">
        <v>1876</v>
      </c>
      <c r="E114" t="s">
        <v>1877</v>
      </c>
      <c r="F114" t="s">
        <v>1730</v>
      </c>
      <c r="G114" s="9" t="str">
        <f t="shared" si="3"/>
        <v>"8"</v>
      </c>
      <c r="H114" s="9">
        <v>1901</v>
      </c>
    </row>
    <row r="115" spans="1:8" ht="15" customHeight="1" x14ac:dyDescent="0.25">
      <c r="A115" s="9">
        <v>8</v>
      </c>
      <c r="D115" t="s">
        <v>1878</v>
      </c>
      <c r="E115" t="s">
        <v>1540</v>
      </c>
      <c r="F115" t="s">
        <v>1728</v>
      </c>
      <c r="G115" s="9" t="str">
        <f t="shared" si="3"/>
        <v>"8"</v>
      </c>
      <c r="H115" s="9">
        <v>1856</v>
      </c>
    </row>
    <row r="116" spans="1:8" ht="15" customHeight="1" x14ac:dyDescent="0.25">
      <c r="A116" s="9">
        <v>7.9</v>
      </c>
      <c r="D116" t="s">
        <v>1879</v>
      </c>
      <c r="E116" t="s">
        <v>81</v>
      </c>
      <c r="F116" t="s">
        <v>1730</v>
      </c>
      <c r="G116" s="9" t="str">
        <f t="shared" si="3"/>
        <v>"7,9"</v>
      </c>
      <c r="H116" s="9">
        <v>1895</v>
      </c>
    </row>
    <row r="117" spans="1:8" ht="15" customHeight="1" x14ac:dyDescent="0.25">
      <c r="A117" s="9">
        <v>7.9</v>
      </c>
      <c r="D117" t="s">
        <v>1880</v>
      </c>
      <c r="E117" t="s">
        <v>184</v>
      </c>
      <c r="F117" t="s">
        <v>1730</v>
      </c>
      <c r="G117" s="9" t="str">
        <f t="shared" si="3"/>
        <v>"7,9"</v>
      </c>
      <c r="H117" s="9">
        <v>1933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D215"/>
  <sheetViews>
    <sheetView topLeftCell="A177" workbookViewId="0">
      <selection sqref="A1:D215"/>
    </sheetView>
  </sheetViews>
  <sheetFormatPr baseColWidth="10" defaultRowHeight="15" x14ac:dyDescent="0.25"/>
  <sheetData>
    <row r="1" spans="1:4" x14ac:dyDescent="0.25">
      <c r="A1" t="s">
        <v>1896</v>
      </c>
      <c r="B1" t="s">
        <v>392</v>
      </c>
      <c r="C1" t="s">
        <v>1881</v>
      </c>
      <c r="D1" t="s">
        <v>1882</v>
      </c>
    </row>
    <row r="2" spans="1:4" x14ac:dyDescent="0.25">
      <c r="A2">
        <v>1</v>
      </c>
      <c r="B2" t="s">
        <v>685</v>
      </c>
      <c r="C2">
        <v>978</v>
      </c>
      <c r="D2">
        <v>3209</v>
      </c>
    </row>
    <row r="3" spans="1:4" x14ac:dyDescent="0.25">
      <c r="A3">
        <v>1</v>
      </c>
      <c r="B3" t="s">
        <v>717</v>
      </c>
      <c r="C3">
        <v>964</v>
      </c>
      <c r="D3">
        <v>3163</v>
      </c>
    </row>
    <row r="4" spans="1:4" x14ac:dyDescent="0.25">
      <c r="A4">
        <v>1</v>
      </c>
      <c r="B4" t="s">
        <v>967</v>
      </c>
      <c r="C4">
        <v>950</v>
      </c>
      <c r="D4">
        <v>3117</v>
      </c>
    </row>
    <row r="5" spans="1:4" x14ac:dyDescent="0.25">
      <c r="A5">
        <v>1</v>
      </c>
      <c r="B5" t="s">
        <v>526</v>
      </c>
      <c r="C5">
        <v>931</v>
      </c>
      <c r="D5">
        <v>3054</v>
      </c>
    </row>
    <row r="6" spans="1:4" x14ac:dyDescent="0.25">
      <c r="A6">
        <v>1</v>
      </c>
      <c r="B6" t="s">
        <v>562</v>
      </c>
      <c r="C6">
        <v>910</v>
      </c>
      <c r="D6">
        <v>2986</v>
      </c>
    </row>
    <row r="7" spans="1:4" x14ac:dyDescent="0.25">
      <c r="A7">
        <v>1</v>
      </c>
      <c r="B7" t="s">
        <v>1883</v>
      </c>
      <c r="C7">
        <v>902</v>
      </c>
      <c r="D7">
        <v>2959</v>
      </c>
    </row>
    <row r="8" spans="1:4" x14ac:dyDescent="0.25">
      <c r="A8">
        <v>1</v>
      </c>
      <c r="B8" t="s">
        <v>569</v>
      </c>
      <c r="C8">
        <v>899</v>
      </c>
      <c r="D8">
        <v>2949</v>
      </c>
    </row>
    <row r="9" spans="1:4" x14ac:dyDescent="0.25">
      <c r="A9">
        <v>1</v>
      </c>
      <c r="B9" t="s">
        <v>720</v>
      </c>
      <c r="C9">
        <v>892</v>
      </c>
      <c r="D9">
        <v>2927</v>
      </c>
    </row>
    <row r="10" spans="1:4" x14ac:dyDescent="0.25">
      <c r="A10">
        <v>1</v>
      </c>
      <c r="B10" t="s">
        <v>710</v>
      </c>
      <c r="C10">
        <v>891</v>
      </c>
      <c r="D10">
        <v>2923</v>
      </c>
    </row>
    <row r="11" spans="1:4" x14ac:dyDescent="0.25">
      <c r="A11">
        <v>1</v>
      </c>
      <c r="B11" t="s">
        <v>713</v>
      </c>
      <c r="C11">
        <v>890</v>
      </c>
      <c r="D11">
        <v>2920</v>
      </c>
    </row>
    <row r="12" spans="1:4" x14ac:dyDescent="0.25">
      <c r="A12">
        <v>1</v>
      </c>
      <c r="B12" t="s">
        <v>403</v>
      </c>
      <c r="C12">
        <v>885</v>
      </c>
      <c r="D12">
        <v>2904</v>
      </c>
    </row>
    <row r="13" spans="1:4" x14ac:dyDescent="0.25">
      <c r="A13">
        <v>1</v>
      </c>
      <c r="B13" t="s">
        <v>452</v>
      </c>
      <c r="C13">
        <v>883</v>
      </c>
      <c r="D13">
        <v>2897</v>
      </c>
    </row>
    <row r="14" spans="1:4" x14ac:dyDescent="0.25">
      <c r="A14">
        <v>1</v>
      </c>
      <c r="B14" t="s">
        <v>427</v>
      </c>
      <c r="C14">
        <v>873</v>
      </c>
      <c r="D14">
        <v>2864</v>
      </c>
    </row>
    <row r="15" spans="1:4" x14ac:dyDescent="0.25">
      <c r="A15">
        <v>1</v>
      </c>
      <c r="B15" t="s">
        <v>1040</v>
      </c>
      <c r="C15">
        <v>868</v>
      </c>
      <c r="D15">
        <v>2848</v>
      </c>
    </row>
    <row r="16" spans="1:4" x14ac:dyDescent="0.25">
      <c r="A16">
        <v>1</v>
      </c>
      <c r="B16" t="s">
        <v>504</v>
      </c>
      <c r="C16">
        <v>865</v>
      </c>
      <c r="D16">
        <v>2838</v>
      </c>
    </row>
    <row r="17" spans="1:4" x14ac:dyDescent="0.25">
      <c r="A17">
        <v>1</v>
      </c>
      <c r="B17" t="s">
        <v>1058</v>
      </c>
      <c r="C17">
        <v>863</v>
      </c>
      <c r="D17">
        <v>2831</v>
      </c>
    </row>
    <row r="18" spans="1:4" x14ac:dyDescent="0.25">
      <c r="A18">
        <v>1</v>
      </c>
      <c r="B18" t="s">
        <v>1019</v>
      </c>
      <c r="C18">
        <v>859</v>
      </c>
      <c r="D18">
        <v>2818</v>
      </c>
    </row>
    <row r="19" spans="1:4" x14ac:dyDescent="0.25">
      <c r="A19">
        <v>1</v>
      </c>
      <c r="B19" t="s">
        <v>449</v>
      </c>
      <c r="C19">
        <v>858</v>
      </c>
      <c r="D19">
        <v>2815</v>
      </c>
    </row>
    <row r="20" spans="1:4" x14ac:dyDescent="0.25">
      <c r="A20">
        <v>1</v>
      </c>
      <c r="B20" t="s">
        <v>479</v>
      </c>
      <c r="C20">
        <v>857</v>
      </c>
      <c r="D20">
        <v>2812</v>
      </c>
    </row>
    <row r="21" spans="1:4" x14ac:dyDescent="0.25">
      <c r="A21">
        <v>1</v>
      </c>
      <c r="B21" t="s">
        <v>482</v>
      </c>
      <c r="C21">
        <v>852</v>
      </c>
      <c r="D21">
        <v>2795</v>
      </c>
    </row>
    <row r="22" spans="1:4" x14ac:dyDescent="0.25">
      <c r="A22">
        <v>1</v>
      </c>
      <c r="B22" t="s">
        <v>929</v>
      </c>
      <c r="C22">
        <v>843</v>
      </c>
      <c r="D22">
        <v>2766</v>
      </c>
    </row>
    <row r="23" spans="1:4" x14ac:dyDescent="0.25">
      <c r="A23">
        <v>1</v>
      </c>
      <c r="B23" t="s">
        <v>898</v>
      </c>
      <c r="C23">
        <v>841</v>
      </c>
      <c r="D23">
        <v>2759</v>
      </c>
    </row>
    <row r="24" spans="1:4" x14ac:dyDescent="0.25">
      <c r="A24">
        <v>1</v>
      </c>
      <c r="B24" t="s">
        <v>641</v>
      </c>
      <c r="C24">
        <v>841</v>
      </c>
      <c r="D24">
        <v>2759</v>
      </c>
    </row>
    <row r="25" spans="1:4" x14ac:dyDescent="0.25">
      <c r="A25">
        <v>1</v>
      </c>
      <c r="B25" t="s">
        <v>1884</v>
      </c>
      <c r="C25">
        <v>839</v>
      </c>
      <c r="D25">
        <v>2753</v>
      </c>
    </row>
    <row r="26" spans="1:4" x14ac:dyDescent="0.25">
      <c r="A26">
        <v>1</v>
      </c>
      <c r="B26" t="s">
        <v>863</v>
      </c>
      <c r="C26">
        <v>828</v>
      </c>
      <c r="D26">
        <v>2717</v>
      </c>
    </row>
    <row r="27" spans="1:4" x14ac:dyDescent="0.25">
      <c r="A27">
        <v>1</v>
      </c>
      <c r="B27" t="s">
        <v>1047</v>
      </c>
      <c r="C27">
        <v>826</v>
      </c>
      <c r="D27">
        <v>2710</v>
      </c>
    </row>
    <row r="28" spans="1:4" x14ac:dyDescent="0.25">
      <c r="A28">
        <v>1</v>
      </c>
      <c r="B28" t="s">
        <v>1005</v>
      </c>
      <c r="C28">
        <v>822</v>
      </c>
      <c r="D28">
        <v>2697</v>
      </c>
    </row>
    <row r="29" spans="1:4" x14ac:dyDescent="0.25">
      <c r="A29">
        <v>1</v>
      </c>
      <c r="B29" t="s">
        <v>1025</v>
      </c>
      <c r="C29">
        <v>819</v>
      </c>
      <c r="D29">
        <v>2687</v>
      </c>
    </row>
    <row r="30" spans="1:4" x14ac:dyDescent="0.25">
      <c r="A30">
        <v>1</v>
      </c>
      <c r="B30" t="s">
        <v>501</v>
      </c>
      <c r="C30">
        <v>807</v>
      </c>
      <c r="D30">
        <v>2648</v>
      </c>
    </row>
    <row r="31" spans="1:4" x14ac:dyDescent="0.25">
      <c r="A31">
        <v>1</v>
      </c>
      <c r="B31" t="s">
        <v>912</v>
      </c>
      <c r="C31">
        <v>807</v>
      </c>
      <c r="D31">
        <v>2648</v>
      </c>
    </row>
    <row r="32" spans="1:4" x14ac:dyDescent="0.25">
      <c r="A32">
        <v>1</v>
      </c>
      <c r="B32" t="s">
        <v>1885</v>
      </c>
      <c r="C32">
        <v>803</v>
      </c>
      <c r="D32">
        <v>2635</v>
      </c>
    </row>
    <row r="33" spans="1:4" x14ac:dyDescent="0.25">
      <c r="A33">
        <v>1</v>
      </c>
      <c r="B33" t="s">
        <v>1886</v>
      </c>
      <c r="C33">
        <v>802</v>
      </c>
      <c r="D33">
        <v>2631</v>
      </c>
    </row>
    <row r="34" spans="1:4" x14ac:dyDescent="0.25">
      <c r="A34">
        <v>1</v>
      </c>
      <c r="B34" t="s">
        <v>774</v>
      </c>
      <c r="C34">
        <v>802</v>
      </c>
      <c r="D34">
        <v>2631</v>
      </c>
    </row>
    <row r="35" spans="1:4" x14ac:dyDescent="0.25">
      <c r="A35">
        <v>1</v>
      </c>
      <c r="B35" t="s">
        <v>1074</v>
      </c>
      <c r="C35">
        <v>802</v>
      </c>
      <c r="D35">
        <v>2631</v>
      </c>
    </row>
    <row r="36" spans="1:4" x14ac:dyDescent="0.25">
      <c r="A36">
        <v>1</v>
      </c>
      <c r="B36" t="s">
        <v>550</v>
      </c>
      <c r="C36">
        <v>801</v>
      </c>
      <c r="D36">
        <v>2628</v>
      </c>
    </row>
    <row r="37" spans="1:4" x14ac:dyDescent="0.25">
      <c r="A37">
        <v>1</v>
      </c>
      <c r="B37" t="s">
        <v>973</v>
      </c>
      <c r="C37">
        <v>797</v>
      </c>
      <c r="D37">
        <v>2615</v>
      </c>
    </row>
    <row r="38" spans="1:4" x14ac:dyDescent="0.25">
      <c r="A38">
        <v>1</v>
      </c>
      <c r="B38" t="s">
        <v>631</v>
      </c>
      <c r="C38">
        <v>796</v>
      </c>
      <c r="D38">
        <v>2612</v>
      </c>
    </row>
    <row r="39" spans="1:4" x14ac:dyDescent="0.25">
      <c r="A39">
        <v>1</v>
      </c>
      <c r="B39" t="s">
        <v>780</v>
      </c>
      <c r="C39">
        <v>792</v>
      </c>
      <c r="D39">
        <v>2598</v>
      </c>
    </row>
    <row r="40" spans="1:4" x14ac:dyDescent="0.25">
      <c r="A40">
        <v>1</v>
      </c>
      <c r="B40" t="s">
        <v>784</v>
      </c>
      <c r="C40">
        <v>792</v>
      </c>
      <c r="D40">
        <v>2598</v>
      </c>
    </row>
    <row r="41" spans="1:4" x14ac:dyDescent="0.25">
      <c r="A41">
        <v>1</v>
      </c>
      <c r="B41" t="s">
        <v>786</v>
      </c>
      <c r="C41">
        <v>791</v>
      </c>
      <c r="D41">
        <v>2595</v>
      </c>
    </row>
    <row r="42" spans="1:4" x14ac:dyDescent="0.25">
      <c r="A42">
        <v>1</v>
      </c>
      <c r="B42" t="s">
        <v>577</v>
      </c>
      <c r="C42">
        <v>789</v>
      </c>
      <c r="D42">
        <v>2589</v>
      </c>
    </row>
    <row r="43" spans="1:4" x14ac:dyDescent="0.25">
      <c r="A43">
        <v>1</v>
      </c>
      <c r="B43" t="s">
        <v>852</v>
      </c>
      <c r="C43">
        <v>785</v>
      </c>
      <c r="D43">
        <v>2575</v>
      </c>
    </row>
    <row r="44" spans="1:4" x14ac:dyDescent="0.25">
      <c r="A44">
        <v>1</v>
      </c>
      <c r="B44" t="s">
        <v>446</v>
      </c>
      <c r="C44">
        <v>785</v>
      </c>
      <c r="D44">
        <v>2575</v>
      </c>
    </row>
    <row r="45" spans="1:4" x14ac:dyDescent="0.25">
      <c r="A45">
        <v>1</v>
      </c>
      <c r="B45" t="s">
        <v>849</v>
      </c>
      <c r="C45">
        <v>784</v>
      </c>
      <c r="D45">
        <v>2572</v>
      </c>
    </row>
    <row r="46" spans="1:4" x14ac:dyDescent="0.25">
      <c r="A46">
        <v>1</v>
      </c>
      <c r="B46" t="s">
        <v>793</v>
      </c>
      <c r="C46">
        <v>783</v>
      </c>
      <c r="D46">
        <v>2569</v>
      </c>
    </row>
    <row r="47" spans="1:4" x14ac:dyDescent="0.25">
      <c r="A47">
        <v>1</v>
      </c>
      <c r="B47" t="s">
        <v>771</v>
      </c>
      <c r="C47">
        <v>780</v>
      </c>
      <c r="D47">
        <v>2559</v>
      </c>
    </row>
    <row r="48" spans="1:4" x14ac:dyDescent="0.25">
      <c r="A48">
        <v>1</v>
      </c>
      <c r="B48" t="s">
        <v>1899</v>
      </c>
      <c r="C48">
        <v>778</v>
      </c>
      <c r="D48">
        <v>2552</v>
      </c>
    </row>
    <row r="49" spans="1:4" x14ac:dyDescent="0.25">
      <c r="A49">
        <v>1</v>
      </c>
      <c r="B49" t="s">
        <v>413</v>
      </c>
      <c r="C49">
        <v>778</v>
      </c>
      <c r="D49">
        <v>2552</v>
      </c>
    </row>
    <row r="50" spans="1:4" x14ac:dyDescent="0.25">
      <c r="A50">
        <v>1</v>
      </c>
      <c r="B50" t="s">
        <v>846</v>
      </c>
      <c r="C50">
        <v>776</v>
      </c>
      <c r="D50">
        <v>2546</v>
      </c>
    </row>
    <row r="51" spans="1:4" x14ac:dyDescent="0.25">
      <c r="A51">
        <v>1</v>
      </c>
      <c r="B51" t="s">
        <v>1046</v>
      </c>
      <c r="C51">
        <v>773</v>
      </c>
      <c r="D51">
        <v>2536</v>
      </c>
    </row>
    <row r="52" spans="1:4" x14ac:dyDescent="0.25">
      <c r="A52">
        <v>1</v>
      </c>
      <c r="B52" t="s">
        <v>529</v>
      </c>
      <c r="C52">
        <v>773</v>
      </c>
      <c r="D52">
        <v>2536</v>
      </c>
    </row>
    <row r="53" spans="1:4" x14ac:dyDescent="0.25">
      <c r="A53">
        <v>1</v>
      </c>
      <c r="B53" t="s">
        <v>532</v>
      </c>
      <c r="C53">
        <v>772</v>
      </c>
      <c r="D53">
        <v>2533</v>
      </c>
    </row>
    <row r="54" spans="1:4" x14ac:dyDescent="0.25">
      <c r="A54">
        <v>1</v>
      </c>
      <c r="B54" t="s">
        <v>535</v>
      </c>
      <c r="C54">
        <v>770</v>
      </c>
      <c r="D54">
        <v>2526</v>
      </c>
    </row>
    <row r="55" spans="1:4" x14ac:dyDescent="0.25">
      <c r="A55">
        <v>1</v>
      </c>
      <c r="B55" t="s">
        <v>539</v>
      </c>
      <c r="C55">
        <v>766</v>
      </c>
      <c r="D55">
        <v>2513</v>
      </c>
    </row>
    <row r="56" spans="1:4" x14ac:dyDescent="0.25">
      <c r="A56">
        <v>1</v>
      </c>
      <c r="B56" t="s">
        <v>545</v>
      </c>
      <c r="C56">
        <v>763</v>
      </c>
      <c r="D56">
        <v>2503</v>
      </c>
    </row>
    <row r="57" spans="1:4" x14ac:dyDescent="0.25">
      <c r="A57">
        <v>1</v>
      </c>
      <c r="B57" t="s">
        <v>1888</v>
      </c>
      <c r="C57">
        <v>763</v>
      </c>
      <c r="D57">
        <v>2503</v>
      </c>
    </row>
    <row r="58" spans="1:4" x14ac:dyDescent="0.25">
      <c r="A58">
        <v>1</v>
      </c>
      <c r="B58" t="s">
        <v>507</v>
      </c>
      <c r="C58">
        <v>762</v>
      </c>
      <c r="D58">
        <v>2500</v>
      </c>
    </row>
    <row r="59" spans="1:4" x14ac:dyDescent="0.25">
      <c r="A59">
        <v>1</v>
      </c>
      <c r="B59" t="s">
        <v>1898</v>
      </c>
      <c r="C59">
        <v>762</v>
      </c>
      <c r="D59">
        <v>2500</v>
      </c>
    </row>
    <row r="60" spans="1:4" x14ac:dyDescent="0.25">
      <c r="A60">
        <v>1</v>
      </c>
      <c r="B60" t="s">
        <v>699</v>
      </c>
      <c r="C60">
        <v>760</v>
      </c>
      <c r="D60">
        <v>2493</v>
      </c>
    </row>
    <row r="61" spans="1:4" x14ac:dyDescent="0.25">
      <c r="A61">
        <v>1</v>
      </c>
      <c r="B61" t="s">
        <v>703</v>
      </c>
      <c r="C61">
        <v>757</v>
      </c>
      <c r="D61">
        <v>2484</v>
      </c>
    </row>
    <row r="62" spans="1:4" x14ac:dyDescent="0.25">
      <c r="A62">
        <v>1</v>
      </c>
      <c r="B62" t="s">
        <v>942</v>
      </c>
      <c r="C62">
        <v>756</v>
      </c>
      <c r="D62">
        <v>2480</v>
      </c>
    </row>
    <row r="63" spans="1:4" x14ac:dyDescent="0.25">
      <c r="A63">
        <v>1</v>
      </c>
      <c r="B63" t="s">
        <v>748</v>
      </c>
      <c r="C63">
        <v>755</v>
      </c>
      <c r="D63">
        <v>2477</v>
      </c>
    </row>
    <row r="64" spans="1:4" x14ac:dyDescent="0.25">
      <c r="A64">
        <v>1</v>
      </c>
      <c r="B64" t="s">
        <v>882</v>
      </c>
      <c r="C64">
        <v>753</v>
      </c>
      <c r="D64">
        <v>2470</v>
      </c>
    </row>
    <row r="65" spans="1:4" x14ac:dyDescent="0.25">
      <c r="A65">
        <v>1</v>
      </c>
      <c r="B65" t="s">
        <v>739</v>
      </c>
      <c r="C65">
        <v>746</v>
      </c>
      <c r="D65">
        <v>2448</v>
      </c>
    </row>
    <row r="66" spans="1:4" x14ac:dyDescent="0.25">
      <c r="A66">
        <v>1</v>
      </c>
      <c r="B66" t="s">
        <v>1889</v>
      </c>
      <c r="C66">
        <v>744</v>
      </c>
      <c r="D66">
        <v>2441</v>
      </c>
    </row>
    <row r="67" spans="1:4" x14ac:dyDescent="0.25">
      <c r="A67">
        <v>1</v>
      </c>
      <c r="B67" t="s">
        <v>886</v>
      </c>
      <c r="C67">
        <v>739</v>
      </c>
      <c r="D67">
        <v>2425</v>
      </c>
    </row>
    <row r="68" spans="1:4" x14ac:dyDescent="0.25">
      <c r="A68">
        <v>1</v>
      </c>
      <c r="B68" t="s">
        <v>1049</v>
      </c>
      <c r="C68">
        <v>737</v>
      </c>
      <c r="D68">
        <v>2418</v>
      </c>
    </row>
    <row r="69" spans="1:4" x14ac:dyDescent="0.25">
      <c r="A69">
        <v>1</v>
      </c>
      <c r="B69" t="s">
        <v>694</v>
      </c>
      <c r="C69">
        <v>736</v>
      </c>
      <c r="D69">
        <v>2415</v>
      </c>
    </row>
    <row r="70" spans="1:4" x14ac:dyDescent="0.25">
      <c r="A70">
        <v>1</v>
      </c>
      <c r="B70" t="s">
        <v>546</v>
      </c>
      <c r="C70">
        <v>736</v>
      </c>
      <c r="D70">
        <v>2415</v>
      </c>
    </row>
    <row r="71" spans="1:4" x14ac:dyDescent="0.25">
      <c r="A71">
        <v>1</v>
      </c>
      <c r="B71" t="s">
        <v>684</v>
      </c>
      <c r="C71">
        <v>736</v>
      </c>
      <c r="D71">
        <v>2415</v>
      </c>
    </row>
    <row r="72" spans="1:4" x14ac:dyDescent="0.25">
      <c r="A72">
        <v>1</v>
      </c>
      <c r="B72" t="s">
        <v>816</v>
      </c>
      <c r="C72">
        <v>734</v>
      </c>
      <c r="D72">
        <v>2408</v>
      </c>
    </row>
    <row r="73" spans="1:4" x14ac:dyDescent="0.25">
      <c r="A73">
        <v>1</v>
      </c>
      <c r="B73" t="s">
        <v>400</v>
      </c>
      <c r="C73">
        <v>730</v>
      </c>
      <c r="D73">
        <v>2395</v>
      </c>
    </row>
    <row r="74" spans="1:4" x14ac:dyDescent="0.25">
      <c r="A74">
        <v>1</v>
      </c>
      <c r="B74" t="s">
        <v>855</v>
      </c>
      <c r="C74">
        <v>727</v>
      </c>
      <c r="D74">
        <v>2385</v>
      </c>
    </row>
    <row r="75" spans="1:4" x14ac:dyDescent="0.25">
      <c r="A75">
        <v>1</v>
      </c>
      <c r="B75" t="s">
        <v>1003</v>
      </c>
      <c r="C75">
        <v>726</v>
      </c>
      <c r="D75">
        <v>2382</v>
      </c>
    </row>
    <row r="76" spans="1:4" x14ac:dyDescent="0.25">
      <c r="A76">
        <v>1</v>
      </c>
      <c r="B76" t="s">
        <v>584</v>
      </c>
      <c r="C76">
        <v>726</v>
      </c>
      <c r="D76">
        <v>2382</v>
      </c>
    </row>
    <row r="77" spans="1:4" x14ac:dyDescent="0.25">
      <c r="A77">
        <v>1</v>
      </c>
      <c r="B77" t="s">
        <v>1070</v>
      </c>
      <c r="C77">
        <v>723</v>
      </c>
      <c r="D77">
        <v>2372</v>
      </c>
    </row>
    <row r="78" spans="1:4" x14ac:dyDescent="0.25">
      <c r="A78">
        <v>1</v>
      </c>
      <c r="B78" t="s">
        <v>416</v>
      </c>
      <c r="C78">
        <v>720</v>
      </c>
      <c r="D78">
        <v>2362</v>
      </c>
    </row>
    <row r="79" spans="1:4" x14ac:dyDescent="0.25">
      <c r="A79">
        <v>1</v>
      </c>
      <c r="B79" t="s">
        <v>609</v>
      </c>
      <c r="C79">
        <v>718</v>
      </c>
      <c r="D79">
        <v>2356</v>
      </c>
    </row>
    <row r="80" spans="1:4" x14ac:dyDescent="0.25">
      <c r="A80">
        <v>1</v>
      </c>
      <c r="B80" t="s">
        <v>617</v>
      </c>
      <c r="C80">
        <v>715</v>
      </c>
      <c r="D80">
        <v>2346</v>
      </c>
    </row>
    <row r="81" spans="1:4" x14ac:dyDescent="0.25">
      <c r="A81">
        <v>1</v>
      </c>
      <c r="B81" t="s">
        <v>613</v>
      </c>
      <c r="C81">
        <v>715</v>
      </c>
      <c r="D81">
        <v>2346</v>
      </c>
    </row>
    <row r="82" spans="1:4" x14ac:dyDescent="0.25">
      <c r="A82">
        <v>1</v>
      </c>
      <c r="B82" t="s">
        <v>997</v>
      </c>
      <c r="C82">
        <v>713</v>
      </c>
      <c r="D82">
        <v>2339</v>
      </c>
    </row>
    <row r="83" spans="1:4" x14ac:dyDescent="0.25">
      <c r="A83">
        <v>1</v>
      </c>
      <c r="B83" t="s">
        <v>592</v>
      </c>
      <c r="C83">
        <v>710</v>
      </c>
      <c r="D83">
        <v>2329</v>
      </c>
    </row>
    <row r="84" spans="1:4" x14ac:dyDescent="0.25">
      <c r="A84">
        <v>1</v>
      </c>
      <c r="B84" t="s">
        <v>993</v>
      </c>
      <c r="C84">
        <v>709</v>
      </c>
      <c r="D84">
        <v>2326</v>
      </c>
    </row>
    <row r="85" spans="1:4" x14ac:dyDescent="0.25">
      <c r="A85">
        <v>1</v>
      </c>
      <c r="B85" t="s">
        <v>891</v>
      </c>
      <c r="C85">
        <v>707</v>
      </c>
      <c r="D85">
        <v>2320</v>
      </c>
    </row>
    <row r="86" spans="1:4" x14ac:dyDescent="0.25">
      <c r="A86">
        <v>1</v>
      </c>
      <c r="B86" t="s">
        <v>874</v>
      </c>
      <c r="C86">
        <v>706</v>
      </c>
      <c r="D86">
        <v>2316</v>
      </c>
    </row>
    <row r="87" spans="1:4" x14ac:dyDescent="0.25">
      <c r="A87">
        <v>1</v>
      </c>
      <c r="B87" t="s">
        <v>1890</v>
      </c>
      <c r="C87">
        <v>705</v>
      </c>
      <c r="D87">
        <v>2313</v>
      </c>
    </row>
    <row r="88" spans="1:4" x14ac:dyDescent="0.25">
      <c r="A88">
        <v>1</v>
      </c>
      <c r="B88" t="s">
        <v>623</v>
      </c>
      <c r="C88">
        <v>702</v>
      </c>
      <c r="D88">
        <v>2303</v>
      </c>
    </row>
    <row r="89" spans="1:4" x14ac:dyDescent="0.25">
      <c r="A89">
        <v>1</v>
      </c>
      <c r="B89" t="s">
        <v>989</v>
      </c>
      <c r="C89">
        <v>701</v>
      </c>
      <c r="D89">
        <v>2300</v>
      </c>
    </row>
    <row r="90" spans="1:4" x14ac:dyDescent="0.25">
      <c r="A90">
        <v>1</v>
      </c>
      <c r="B90" t="s">
        <v>986</v>
      </c>
      <c r="C90">
        <v>700</v>
      </c>
      <c r="D90">
        <v>2297</v>
      </c>
    </row>
    <row r="91" spans="1:4" x14ac:dyDescent="0.25">
      <c r="A91">
        <v>1</v>
      </c>
      <c r="B91" t="s">
        <v>442</v>
      </c>
      <c r="C91">
        <v>699</v>
      </c>
      <c r="D91">
        <v>2293</v>
      </c>
    </row>
    <row r="92" spans="1:4" x14ac:dyDescent="0.25">
      <c r="A92">
        <v>1</v>
      </c>
      <c r="B92" t="s">
        <v>1039</v>
      </c>
      <c r="C92">
        <v>697</v>
      </c>
      <c r="D92">
        <v>2287</v>
      </c>
    </row>
    <row r="93" spans="1:4" x14ac:dyDescent="0.25">
      <c r="A93">
        <v>1</v>
      </c>
      <c r="B93" t="s">
        <v>1029</v>
      </c>
      <c r="C93">
        <v>697</v>
      </c>
      <c r="D93">
        <v>2287</v>
      </c>
    </row>
    <row r="94" spans="1:4" x14ac:dyDescent="0.25">
      <c r="A94">
        <v>1</v>
      </c>
      <c r="B94" t="s">
        <v>900</v>
      </c>
      <c r="C94">
        <v>696</v>
      </c>
      <c r="D94">
        <v>2283</v>
      </c>
    </row>
    <row r="95" spans="1:4" x14ac:dyDescent="0.25">
      <c r="A95">
        <v>1</v>
      </c>
      <c r="B95" t="s">
        <v>691</v>
      </c>
      <c r="C95">
        <v>692</v>
      </c>
      <c r="D95">
        <v>2270</v>
      </c>
    </row>
    <row r="96" spans="1:4" x14ac:dyDescent="0.25">
      <c r="A96">
        <v>1</v>
      </c>
      <c r="B96" t="s">
        <v>587</v>
      </c>
      <c r="C96">
        <v>690</v>
      </c>
      <c r="D96">
        <v>2264</v>
      </c>
    </row>
    <row r="97" spans="1:4" x14ac:dyDescent="0.25">
      <c r="A97">
        <v>1</v>
      </c>
      <c r="B97" t="s">
        <v>397</v>
      </c>
      <c r="C97">
        <v>690</v>
      </c>
      <c r="D97">
        <v>2264</v>
      </c>
    </row>
    <row r="98" spans="1:4" x14ac:dyDescent="0.25">
      <c r="A98">
        <v>1</v>
      </c>
      <c r="B98" t="s">
        <v>908</v>
      </c>
      <c r="C98">
        <v>683</v>
      </c>
      <c r="D98">
        <v>2241</v>
      </c>
    </row>
    <row r="99" spans="1:4" x14ac:dyDescent="0.25">
      <c r="A99">
        <v>1</v>
      </c>
      <c r="B99" t="s">
        <v>809</v>
      </c>
      <c r="C99">
        <v>680</v>
      </c>
      <c r="D99">
        <v>2231</v>
      </c>
    </row>
    <row r="100" spans="1:4" x14ac:dyDescent="0.25">
      <c r="A100">
        <v>1</v>
      </c>
      <c r="B100" t="s">
        <v>515</v>
      </c>
      <c r="C100">
        <v>675</v>
      </c>
      <c r="D100">
        <v>2215</v>
      </c>
    </row>
    <row r="101" spans="1:4" x14ac:dyDescent="0.25">
      <c r="A101">
        <v>1</v>
      </c>
      <c r="B101" t="s">
        <v>1022</v>
      </c>
      <c r="C101">
        <v>673</v>
      </c>
      <c r="D101">
        <v>2208</v>
      </c>
    </row>
    <row r="102" spans="1:4" x14ac:dyDescent="0.25">
      <c r="A102">
        <v>1</v>
      </c>
      <c r="B102" t="s">
        <v>687</v>
      </c>
      <c r="C102">
        <v>672</v>
      </c>
      <c r="D102">
        <v>2205</v>
      </c>
    </row>
    <row r="103" spans="1:4" x14ac:dyDescent="0.25">
      <c r="A103">
        <v>1</v>
      </c>
      <c r="B103" t="s">
        <v>811</v>
      </c>
      <c r="C103">
        <v>671</v>
      </c>
      <c r="D103">
        <v>2201</v>
      </c>
    </row>
    <row r="104" spans="1:4" x14ac:dyDescent="0.25">
      <c r="A104">
        <v>1</v>
      </c>
      <c r="B104" t="s">
        <v>950</v>
      </c>
      <c r="C104">
        <v>670</v>
      </c>
      <c r="D104">
        <v>2198</v>
      </c>
    </row>
    <row r="105" spans="1:4" x14ac:dyDescent="0.25">
      <c r="A105">
        <v>1</v>
      </c>
      <c r="B105" t="s">
        <v>1891</v>
      </c>
      <c r="C105">
        <v>664</v>
      </c>
      <c r="D105">
        <v>2178</v>
      </c>
    </row>
    <row r="106" spans="1:4" x14ac:dyDescent="0.25">
      <c r="A106">
        <v>1</v>
      </c>
      <c r="B106" t="s">
        <v>726</v>
      </c>
      <c r="C106">
        <v>663</v>
      </c>
      <c r="D106">
        <v>2175</v>
      </c>
    </row>
    <row r="107" spans="1:4" x14ac:dyDescent="0.25">
      <c r="A107">
        <v>1</v>
      </c>
      <c r="B107" t="s">
        <v>878</v>
      </c>
      <c r="C107">
        <v>660</v>
      </c>
      <c r="D107">
        <v>2165</v>
      </c>
    </row>
    <row r="108" spans="1:4" x14ac:dyDescent="0.25">
      <c r="A108">
        <v>1</v>
      </c>
      <c r="B108" t="s">
        <v>840</v>
      </c>
      <c r="C108">
        <v>658</v>
      </c>
      <c r="D108">
        <v>2159</v>
      </c>
    </row>
    <row r="109" spans="1:4" x14ac:dyDescent="0.25">
      <c r="A109">
        <v>1</v>
      </c>
      <c r="B109" t="s">
        <v>963</v>
      </c>
      <c r="C109">
        <v>657</v>
      </c>
      <c r="D109">
        <v>2156</v>
      </c>
    </row>
    <row r="110" spans="1:4" x14ac:dyDescent="0.25">
      <c r="A110">
        <v>1</v>
      </c>
      <c r="B110" t="s">
        <v>843</v>
      </c>
      <c r="C110">
        <v>656</v>
      </c>
      <c r="D110">
        <v>2152</v>
      </c>
    </row>
    <row r="111" spans="1:4" x14ac:dyDescent="0.25">
      <c r="A111">
        <v>1</v>
      </c>
      <c r="B111" t="s">
        <v>695</v>
      </c>
      <c r="C111">
        <v>655</v>
      </c>
      <c r="D111">
        <v>2149</v>
      </c>
    </row>
    <row r="112" spans="1:4" x14ac:dyDescent="0.25">
      <c r="A112">
        <v>1</v>
      </c>
      <c r="B112" t="s">
        <v>1897</v>
      </c>
      <c r="C112">
        <v>654</v>
      </c>
      <c r="D112">
        <v>2146</v>
      </c>
    </row>
    <row r="113" spans="1:4" x14ac:dyDescent="0.25">
      <c r="A113">
        <v>1</v>
      </c>
      <c r="B113" t="s">
        <v>765</v>
      </c>
      <c r="C113">
        <v>654</v>
      </c>
      <c r="D113">
        <v>2146</v>
      </c>
    </row>
    <row r="114" spans="1:4" x14ac:dyDescent="0.25">
      <c r="A114">
        <v>1</v>
      </c>
      <c r="B114" t="s">
        <v>497</v>
      </c>
      <c r="C114">
        <v>653</v>
      </c>
      <c r="D114">
        <v>2142</v>
      </c>
    </row>
    <row r="115" spans="1:4" x14ac:dyDescent="0.25">
      <c r="A115">
        <v>1</v>
      </c>
      <c r="B115" t="s">
        <v>1036</v>
      </c>
      <c r="C115">
        <v>651</v>
      </c>
      <c r="D115">
        <v>2136</v>
      </c>
    </row>
    <row r="116" spans="1:4" x14ac:dyDescent="0.25">
      <c r="A116">
        <v>1</v>
      </c>
      <c r="B116" t="s">
        <v>573</v>
      </c>
      <c r="C116">
        <v>651</v>
      </c>
      <c r="D116">
        <v>2136</v>
      </c>
    </row>
    <row r="117" spans="1:4" x14ac:dyDescent="0.25">
      <c r="A117">
        <v>1</v>
      </c>
      <c r="B117" t="s">
        <v>420</v>
      </c>
      <c r="C117">
        <v>648</v>
      </c>
      <c r="D117">
        <v>2126</v>
      </c>
    </row>
    <row r="118" spans="1:4" x14ac:dyDescent="0.25">
      <c r="A118">
        <v>1</v>
      </c>
      <c r="B118" t="s">
        <v>670</v>
      </c>
      <c r="C118">
        <v>646</v>
      </c>
      <c r="D118">
        <v>2119</v>
      </c>
    </row>
    <row r="119" spans="1:4" x14ac:dyDescent="0.25">
      <c r="A119">
        <v>1</v>
      </c>
      <c r="B119" t="s">
        <v>1032</v>
      </c>
      <c r="C119">
        <v>638</v>
      </c>
      <c r="D119">
        <v>2093</v>
      </c>
    </row>
    <row r="120" spans="1:4" x14ac:dyDescent="0.25">
      <c r="A120">
        <v>1</v>
      </c>
      <c r="B120" t="s">
        <v>744</v>
      </c>
      <c r="C120">
        <v>637</v>
      </c>
      <c r="D120">
        <v>2090</v>
      </c>
    </row>
    <row r="121" spans="1:4" x14ac:dyDescent="0.25">
      <c r="A121">
        <v>1</v>
      </c>
      <c r="B121" t="s">
        <v>1038</v>
      </c>
      <c r="C121">
        <v>637</v>
      </c>
      <c r="D121">
        <v>2090</v>
      </c>
    </row>
    <row r="122" spans="1:4" x14ac:dyDescent="0.25">
      <c r="A122">
        <v>1</v>
      </c>
      <c r="B122" t="s">
        <v>619</v>
      </c>
      <c r="C122">
        <v>633</v>
      </c>
      <c r="D122">
        <v>2077</v>
      </c>
    </row>
    <row r="123" spans="1:4" x14ac:dyDescent="0.25">
      <c r="A123">
        <v>1</v>
      </c>
      <c r="B123" t="s">
        <v>764</v>
      </c>
      <c r="C123">
        <v>633</v>
      </c>
      <c r="D123">
        <v>2077</v>
      </c>
    </row>
    <row r="124" spans="1:4" x14ac:dyDescent="0.25">
      <c r="A124">
        <v>1</v>
      </c>
      <c r="B124" t="s">
        <v>459</v>
      </c>
      <c r="C124">
        <v>627</v>
      </c>
      <c r="D124">
        <v>2057</v>
      </c>
    </row>
    <row r="125" spans="1:4" x14ac:dyDescent="0.25">
      <c r="A125">
        <v>1</v>
      </c>
      <c r="B125" t="s">
        <v>455</v>
      </c>
      <c r="C125">
        <v>622</v>
      </c>
      <c r="D125">
        <v>2041</v>
      </c>
    </row>
    <row r="126" spans="1:4" x14ac:dyDescent="0.25">
      <c r="A126">
        <v>1</v>
      </c>
      <c r="B126" t="s">
        <v>471</v>
      </c>
      <c r="C126">
        <v>618</v>
      </c>
      <c r="D126">
        <v>2028</v>
      </c>
    </row>
    <row r="127" spans="1:4" x14ac:dyDescent="0.25">
      <c r="A127">
        <v>1</v>
      </c>
      <c r="B127" t="s">
        <v>438</v>
      </c>
      <c r="C127">
        <v>616</v>
      </c>
      <c r="D127">
        <v>2021</v>
      </c>
    </row>
    <row r="128" spans="1:4" x14ac:dyDescent="0.25">
      <c r="A128">
        <v>1</v>
      </c>
      <c r="B128" t="s">
        <v>467</v>
      </c>
      <c r="C128">
        <v>612</v>
      </c>
      <c r="D128">
        <v>2008</v>
      </c>
    </row>
    <row r="129" spans="1:4" x14ac:dyDescent="0.25">
      <c r="A129">
        <v>1</v>
      </c>
      <c r="B129" t="s">
        <v>463</v>
      </c>
      <c r="C129">
        <v>609</v>
      </c>
      <c r="D129">
        <v>1998</v>
      </c>
    </row>
    <row r="130" spans="1:4" x14ac:dyDescent="0.25">
      <c r="A130">
        <v>1</v>
      </c>
      <c r="B130" t="s">
        <v>760</v>
      </c>
      <c r="C130">
        <v>608</v>
      </c>
      <c r="D130">
        <v>1995</v>
      </c>
    </row>
    <row r="131" spans="1:4" x14ac:dyDescent="0.25">
      <c r="A131">
        <v>1</v>
      </c>
      <c r="B131" t="s">
        <v>644</v>
      </c>
      <c r="C131">
        <v>601</v>
      </c>
      <c r="D131">
        <v>1972</v>
      </c>
    </row>
    <row r="132" spans="1:4" x14ac:dyDescent="0.25">
      <c r="A132">
        <v>1</v>
      </c>
      <c r="B132" t="s">
        <v>894</v>
      </c>
      <c r="C132">
        <v>597</v>
      </c>
      <c r="D132">
        <v>1959</v>
      </c>
    </row>
    <row r="133" spans="1:4" x14ac:dyDescent="0.25">
      <c r="A133">
        <v>1</v>
      </c>
      <c r="B133" t="s">
        <v>651</v>
      </c>
      <c r="C133">
        <v>590</v>
      </c>
      <c r="D133">
        <v>1936</v>
      </c>
    </row>
    <row r="134" spans="1:4" x14ac:dyDescent="0.25">
      <c r="A134">
        <v>1</v>
      </c>
      <c r="B134" t="s">
        <v>519</v>
      </c>
      <c r="C134">
        <v>587</v>
      </c>
      <c r="D134">
        <v>1926</v>
      </c>
    </row>
    <row r="135" spans="1:4" x14ac:dyDescent="0.25">
      <c r="A135">
        <v>1</v>
      </c>
      <c r="B135" t="s">
        <v>1016</v>
      </c>
      <c r="C135">
        <v>586</v>
      </c>
      <c r="D135">
        <v>1923</v>
      </c>
    </row>
    <row r="136" spans="1:4" x14ac:dyDescent="0.25">
      <c r="A136">
        <v>1</v>
      </c>
      <c r="B136" t="s">
        <v>768</v>
      </c>
      <c r="C136">
        <v>582</v>
      </c>
      <c r="D136">
        <v>1909</v>
      </c>
    </row>
    <row r="137" spans="1:4" x14ac:dyDescent="0.25">
      <c r="A137">
        <v>1</v>
      </c>
      <c r="B137" t="s">
        <v>956</v>
      </c>
      <c r="C137">
        <v>581</v>
      </c>
      <c r="D137">
        <v>1906</v>
      </c>
    </row>
    <row r="138" spans="1:4" x14ac:dyDescent="0.25">
      <c r="A138">
        <v>1</v>
      </c>
      <c r="B138" t="s">
        <v>1892</v>
      </c>
      <c r="C138">
        <v>576</v>
      </c>
      <c r="D138">
        <v>1890</v>
      </c>
    </row>
    <row r="139" spans="1:4" x14ac:dyDescent="0.25">
      <c r="A139">
        <v>1</v>
      </c>
      <c r="B139" t="s">
        <v>820</v>
      </c>
      <c r="C139">
        <v>575</v>
      </c>
      <c r="D139">
        <v>1886</v>
      </c>
    </row>
    <row r="140" spans="1:4" x14ac:dyDescent="0.25">
      <c r="A140">
        <v>1</v>
      </c>
      <c r="B140" t="s">
        <v>658</v>
      </c>
      <c r="C140">
        <v>573</v>
      </c>
      <c r="D140">
        <v>1880</v>
      </c>
    </row>
    <row r="141" spans="1:4" x14ac:dyDescent="0.25">
      <c r="A141">
        <v>1</v>
      </c>
      <c r="B141" t="s">
        <v>681</v>
      </c>
      <c r="C141">
        <v>571</v>
      </c>
      <c r="D141">
        <v>1873</v>
      </c>
    </row>
    <row r="142" spans="1:4" x14ac:dyDescent="0.25">
      <c r="A142">
        <v>1</v>
      </c>
      <c r="B142" t="s">
        <v>1893</v>
      </c>
      <c r="C142">
        <v>570</v>
      </c>
      <c r="D142">
        <v>1870</v>
      </c>
    </row>
    <row r="143" spans="1:4" x14ac:dyDescent="0.25">
      <c r="A143">
        <v>1</v>
      </c>
      <c r="B143" t="s">
        <v>915</v>
      </c>
      <c r="C143">
        <v>568</v>
      </c>
      <c r="D143">
        <v>1864</v>
      </c>
    </row>
    <row r="144" spans="1:4" x14ac:dyDescent="0.25">
      <c r="A144">
        <v>1</v>
      </c>
      <c r="B144" t="s">
        <v>919</v>
      </c>
      <c r="C144">
        <v>567</v>
      </c>
      <c r="D144">
        <v>1860</v>
      </c>
    </row>
    <row r="145" spans="1:4" x14ac:dyDescent="0.25">
      <c r="A145">
        <v>1</v>
      </c>
      <c r="B145" t="s">
        <v>634</v>
      </c>
      <c r="C145">
        <v>561</v>
      </c>
      <c r="D145">
        <v>1841</v>
      </c>
    </row>
    <row r="146" spans="1:4" x14ac:dyDescent="0.25">
      <c r="A146">
        <v>1</v>
      </c>
      <c r="B146" t="s">
        <v>594</v>
      </c>
      <c r="C146">
        <v>556</v>
      </c>
      <c r="D146">
        <v>1824</v>
      </c>
    </row>
    <row r="147" spans="1:4" x14ac:dyDescent="0.25">
      <c r="A147">
        <v>1</v>
      </c>
      <c r="B147" t="s">
        <v>638</v>
      </c>
      <c r="C147">
        <v>553</v>
      </c>
      <c r="D147">
        <v>1814</v>
      </c>
    </row>
    <row r="148" spans="1:4" x14ac:dyDescent="0.25">
      <c r="A148">
        <v>1</v>
      </c>
      <c r="B148" t="s">
        <v>797</v>
      </c>
      <c r="C148">
        <v>552</v>
      </c>
      <c r="D148">
        <v>1811</v>
      </c>
    </row>
    <row r="149" spans="1:4" x14ac:dyDescent="0.25">
      <c r="A149">
        <v>1</v>
      </c>
      <c r="B149" t="s">
        <v>923</v>
      </c>
      <c r="C149">
        <v>551</v>
      </c>
      <c r="D149">
        <v>1808</v>
      </c>
    </row>
    <row r="150" spans="1:4" x14ac:dyDescent="0.25">
      <c r="A150">
        <v>1</v>
      </c>
      <c r="B150" t="s">
        <v>927</v>
      </c>
      <c r="C150">
        <v>550</v>
      </c>
      <c r="D150">
        <v>1804</v>
      </c>
    </row>
    <row r="151" spans="1:4" x14ac:dyDescent="0.25">
      <c r="A151">
        <v>1</v>
      </c>
      <c r="B151" t="s">
        <v>866</v>
      </c>
      <c r="C151">
        <v>550</v>
      </c>
      <c r="D151">
        <v>1804</v>
      </c>
    </row>
    <row r="152" spans="1:4" x14ac:dyDescent="0.25">
      <c r="A152">
        <v>1</v>
      </c>
      <c r="B152" t="s">
        <v>1009</v>
      </c>
      <c r="C152">
        <v>549</v>
      </c>
      <c r="D152">
        <v>1801</v>
      </c>
    </row>
    <row r="153" spans="1:4" x14ac:dyDescent="0.25">
      <c r="A153">
        <v>1</v>
      </c>
      <c r="B153" t="s">
        <v>873</v>
      </c>
      <c r="C153">
        <v>541</v>
      </c>
      <c r="D153">
        <v>1775</v>
      </c>
    </row>
    <row r="154" spans="1:4" x14ac:dyDescent="0.25">
      <c r="A154">
        <v>1</v>
      </c>
      <c r="B154" t="s">
        <v>654</v>
      </c>
      <c r="C154">
        <v>541</v>
      </c>
      <c r="D154">
        <v>1775</v>
      </c>
    </row>
    <row r="155" spans="1:4" x14ac:dyDescent="0.25">
      <c r="A155">
        <v>1</v>
      </c>
      <c r="B155" t="s">
        <v>742</v>
      </c>
      <c r="C155">
        <v>537</v>
      </c>
      <c r="D155">
        <v>1762</v>
      </c>
    </row>
    <row r="156" spans="1:4" x14ac:dyDescent="0.25">
      <c r="A156">
        <v>1</v>
      </c>
      <c r="B156" t="s">
        <v>565</v>
      </c>
      <c r="C156">
        <v>537</v>
      </c>
      <c r="D156">
        <v>1762</v>
      </c>
    </row>
    <row r="157" spans="1:4" x14ac:dyDescent="0.25">
      <c r="A157">
        <v>1</v>
      </c>
      <c r="B157" t="s">
        <v>1013</v>
      </c>
      <c r="C157">
        <v>535</v>
      </c>
      <c r="D157">
        <v>1755</v>
      </c>
    </row>
    <row r="158" spans="1:4" x14ac:dyDescent="0.25">
      <c r="A158">
        <v>1</v>
      </c>
      <c r="B158" t="s">
        <v>1052</v>
      </c>
      <c r="C158">
        <v>533</v>
      </c>
      <c r="D158">
        <v>1749</v>
      </c>
    </row>
    <row r="159" spans="1:4" x14ac:dyDescent="0.25">
      <c r="A159">
        <v>1</v>
      </c>
      <c r="B159" t="s">
        <v>560</v>
      </c>
      <c r="C159">
        <v>526</v>
      </c>
      <c r="D159">
        <v>1726</v>
      </c>
    </row>
    <row r="160" spans="1:4" x14ac:dyDescent="0.25">
      <c r="A160">
        <v>1</v>
      </c>
      <c r="B160" t="s">
        <v>434</v>
      </c>
      <c r="C160">
        <v>526</v>
      </c>
      <c r="D160">
        <v>1726</v>
      </c>
    </row>
    <row r="161" spans="1:4" x14ac:dyDescent="0.25">
      <c r="A161">
        <v>1</v>
      </c>
      <c r="B161" t="s">
        <v>409</v>
      </c>
      <c r="C161">
        <v>525</v>
      </c>
      <c r="D161">
        <v>1722</v>
      </c>
    </row>
    <row r="162" spans="1:4" x14ac:dyDescent="0.25">
      <c r="A162">
        <v>1</v>
      </c>
      <c r="B162" t="s">
        <v>626</v>
      </c>
      <c r="C162">
        <v>524</v>
      </c>
      <c r="D162">
        <v>1719</v>
      </c>
    </row>
    <row r="163" spans="1:4" x14ac:dyDescent="0.25">
      <c r="A163">
        <v>1</v>
      </c>
      <c r="B163" t="s">
        <v>512</v>
      </c>
      <c r="C163">
        <v>522</v>
      </c>
      <c r="D163">
        <v>1713</v>
      </c>
    </row>
    <row r="164" spans="1:4" x14ac:dyDescent="0.25">
      <c r="A164">
        <v>1</v>
      </c>
      <c r="B164" t="s">
        <v>947</v>
      </c>
      <c r="C164">
        <v>520</v>
      </c>
      <c r="D164">
        <v>1706</v>
      </c>
    </row>
    <row r="165" spans="1:4" x14ac:dyDescent="0.25">
      <c r="A165">
        <v>1</v>
      </c>
      <c r="B165" t="s">
        <v>836</v>
      </c>
      <c r="C165">
        <v>519</v>
      </c>
      <c r="D165">
        <v>1703</v>
      </c>
    </row>
    <row r="166" spans="1:4" x14ac:dyDescent="0.25">
      <c r="A166">
        <v>1</v>
      </c>
      <c r="B166" t="s">
        <v>589</v>
      </c>
      <c r="C166">
        <v>517</v>
      </c>
      <c r="D166">
        <v>1696</v>
      </c>
    </row>
    <row r="167" spans="1:4" x14ac:dyDescent="0.25">
      <c r="A167">
        <v>1</v>
      </c>
      <c r="B167" t="s">
        <v>978</v>
      </c>
      <c r="C167">
        <v>516</v>
      </c>
      <c r="D167">
        <v>1693</v>
      </c>
    </row>
    <row r="168" spans="1:4" x14ac:dyDescent="0.25">
      <c r="A168">
        <v>1</v>
      </c>
      <c r="B168" t="s">
        <v>859</v>
      </c>
      <c r="C168">
        <v>515</v>
      </c>
      <c r="D168">
        <v>1690</v>
      </c>
    </row>
    <row r="169" spans="1:4" x14ac:dyDescent="0.25">
      <c r="A169">
        <v>1</v>
      </c>
      <c r="B169" t="s">
        <v>944</v>
      </c>
      <c r="C169">
        <v>512</v>
      </c>
      <c r="D169">
        <v>1680</v>
      </c>
    </row>
    <row r="170" spans="1:4" x14ac:dyDescent="0.25">
      <c r="A170">
        <v>1</v>
      </c>
      <c r="B170" t="s">
        <v>489</v>
      </c>
      <c r="C170">
        <v>511</v>
      </c>
      <c r="D170">
        <v>1677</v>
      </c>
    </row>
    <row r="171" spans="1:4" x14ac:dyDescent="0.25">
      <c r="A171">
        <v>1</v>
      </c>
      <c r="B171" t="s">
        <v>966</v>
      </c>
      <c r="C171">
        <v>509</v>
      </c>
      <c r="D171">
        <v>1670</v>
      </c>
    </row>
    <row r="172" spans="1:4" x14ac:dyDescent="0.25">
      <c r="A172">
        <v>1</v>
      </c>
      <c r="B172" t="s">
        <v>486</v>
      </c>
      <c r="C172">
        <v>509</v>
      </c>
      <c r="D172">
        <v>1670</v>
      </c>
    </row>
    <row r="173" spans="1:4" x14ac:dyDescent="0.25">
      <c r="A173">
        <v>1</v>
      </c>
      <c r="B173" t="s">
        <v>824</v>
      </c>
      <c r="C173">
        <v>508</v>
      </c>
      <c r="D173">
        <v>1667</v>
      </c>
    </row>
    <row r="174" spans="1:4" x14ac:dyDescent="0.25">
      <c r="A174">
        <v>1</v>
      </c>
      <c r="B174" t="s">
        <v>870</v>
      </c>
      <c r="C174">
        <v>505</v>
      </c>
      <c r="D174">
        <v>1657</v>
      </c>
    </row>
    <row r="175" spans="1:4" x14ac:dyDescent="0.25">
      <c r="A175">
        <v>1</v>
      </c>
      <c r="B175" t="s">
        <v>648</v>
      </c>
      <c r="C175">
        <v>502</v>
      </c>
      <c r="D175">
        <v>1647</v>
      </c>
    </row>
    <row r="176" spans="1:4" x14ac:dyDescent="0.25">
      <c r="A176">
        <v>1</v>
      </c>
      <c r="B176" t="s">
        <v>932</v>
      </c>
      <c r="C176">
        <v>500</v>
      </c>
      <c r="D176">
        <v>1640</v>
      </c>
    </row>
    <row r="177" spans="1:4" x14ac:dyDescent="0.25">
      <c r="A177">
        <v>1</v>
      </c>
      <c r="B177" t="s">
        <v>553</v>
      </c>
      <c r="C177">
        <v>489</v>
      </c>
      <c r="D177">
        <v>1604</v>
      </c>
    </row>
    <row r="178" spans="1:4" x14ac:dyDescent="0.25">
      <c r="A178">
        <v>1</v>
      </c>
      <c r="B178" t="s">
        <v>1894</v>
      </c>
      <c r="C178">
        <v>488</v>
      </c>
      <c r="D178">
        <v>1601</v>
      </c>
    </row>
    <row r="179" spans="1:4" x14ac:dyDescent="0.25">
      <c r="A179">
        <v>1</v>
      </c>
      <c r="B179" t="s">
        <v>959</v>
      </c>
      <c r="C179">
        <v>486</v>
      </c>
      <c r="D179">
        <v>1594</v>
      </c>
    </row>
    <row r="180" spans="1:4" x14ac:dyDescent="0.25">
      <c r="A180">
        <v>1</v>
      </c>
      <c r="B180" t="s">
        <v>508</v>
      </c>
      <c r="C180">
        <v>483</v>
      </c>
      <c r="D180">
        <v>1585</v>
      </c>
    </row>
    <row r="181" spans="1:4" x14ac:dyDescent="0.25">
      <c r="A181">
        <v>1</v>
      </c>
      <c r="B181" t="s">
        <v>815</v>
      </c>
      <c r="C181">
        <v>483</v>
      </c>
      <c r="D181">
        <v>1585</v>
      </c>
    </row>
    <row r="182" spans="1:4" x14ac:dyDescent="0.25">
      <c r="A182">
        <v>1</v>
      </c>
      <c r="B182" t="s">
        <v>677</v>
      </c>
      <c r="C182">
        <v>481</v>
      </c>
      <c r="D182">
        <v>1578</v>
      </c>
    </row>
    <row r="183" spans="1:4" x14ac:dyDescent="0.25">
      <c r="A183">
        <v>1</v>
      </c>
      <c r="B183" t="s">
        <v>756</v>
      </c>
      <c r="C183">
        <v>479</v>
      </c>
      <c r="D183">
        <v>1572</v>
      </c>
    </row>
    <row r="184" spans="1:4" x14ac:dyDescent="0.25">
      <c r="A184">
        <v>1</v>
      </c>
      <c r="B184" t="s">
        <v>734</v>
      </c>
      <c r="C184">
        <v>475</v>
      </c>
      <c r="D184">
        <v>1558</v>
      </c>
    </row>
    <row r="185" spans="1:4" x14ac:dyDescent="0.25">
      <c r="A185">
        <v>1</v>
      </c>
      <c r="B185" t="s">
        <v>598</v>
      </c>
      <c r="C185">
        <v>469</v>
      </c>
      <c r="D185">
        <v>1539</v>
      </c>
    </row>
    <row r="186" spans="1:4" x14ac:dyDescent="0.25">
      <c r="A186">
        <v>1</v>
      </c>
      <c r="B186" t="s">
        <v>493</v>
      </c>
      <c r="C186">
        <v>468</v>
      </c>
      <c r="D186">
        <v>1535</v>
      </c>
    </row>
    <row r="187" spans="1:4" x14ac:dyDescent="0.25">
      <c r="A187">
        <v>1</v>
      </c>
      <c r="B187" t="s">
        <v>752</v>
      </c>
      <c r="C187">
        <v>461</v>
      </c>
      <c r="D187">
        <v>1512</v>
      </c>
    </row>
    <row r="188" spans="1:4" x14ac:dyDescent="0.25">
      <c r="A188">
        <v>1</v>
      </c>
      <c r="B188" t="s">
        <v>674</v>
      </c>
      <c r="C188">
        <v>455</v>
      </c>
      <c r="D188">
        <v>1493</v>
      </c>
    </row>
    <row r="189" spans="1:4" x14ac:dyDescent="0.25">
      <c r="A189">
        <v>1</v>
      </c>
      <c r="B189" t="s">
        <v>393</v>
      </c>
      <c r="C189">
        <v>452</v>
      </c>
      <c r="D189">
        <v>1483</v>
      </c>
    </row>
    <row r="190" spans="1:4" x14ac:dyDescent="0.25">
      <c r="A190">
        <v>1</v>
      </c>
      <c r="B190" t="s">
        <v>1895</v>
      </c>
      <c r="C190">
        <v>451</v>
      </c>
      <c r="D190">
        <v>1480</v>
      </c>
    </row>
    <row r="191" spans="1:4" x14ac:dyDescent="0.25">
      <c r="A191">
        <v>1</v>
      </c>
      <c r="B191" t="s">
        <v>890</v>
      </c>
      <c r="C191">
        <v>450</v>
      </c>
      <c r="D191">
        <v>1476</v>
      </c>
    </row>
    <row r="192" spans="1:4" x14ac:dyDescent="0.25">
      <c r="A192">
        <v>1</v>
      </c>
      <c r="B192" t="s">
        <v>557</v>
      </c>
      <c r="C192">
        <v>450</v>
      </c>
      <c r="D192">
        <v>1476</v>
      </c>
    </row>
    <row r="193" spans="1:4" x14ac:dyDescent="0.25">
      <c r="A193">
        <v>1</v>
      </c>
      <c r="B193" t="s">
        <v>666</v>
      </c>
      <c r="C193">
        <v>447</v>
      </c>
      <c r="D193">
        <v>1467</v>
      </c>
    </row>
    <row r="194" spans="1:4" x14ac:dyDescent="0.25">
      <c r="A194">
        <v>1</v>
      </c>
      <c r="B194" t="s">
        <v>982</v>
      </c>
      <c r="C194">
        <v>442</v>
      </c>
      <c r="D194">
        <v>1450</v>
      </c>
    </row>
    <row r="195" spans="1:4" x14ac:dyDescent="0.25">
      <c r="A195">
        <v>1</v>
      </c>
      <c r="B195" t="s">
        <v>1062</v>
      </c>
      <c r="C195">
        <v>433</v>
      </c>
      <c r="D195">
        <v>1421</v>
      </c>
    </row>
    <row r="196" spans="1:4" x14ac:dyDescent="0.25">
      <c r="A196">
        <v>1</v>
      </c>
      <c r="B196" t="s">
        <v>935</v>
      </c>
      <c r="C196">
        <v>432</v>
      </c>
      <c r="D196">
        <v>1417</v>
      </c>
    </row>
    <row r="197" spans="1:4" x14ac:dyDescent="0.25">
      <c r="A197">
        <v>1</v>
      </c>
      <c r="B197" t="s">
        <v>801</v>
      </c>
      <c r="C197">
        <v>423</v>
      </c>
      <c r="D197">
        <v>1388</v>
      </c>
    </row>
    <row r="198" spans="1:4" x14ac:dyDescent="0.25">
      <c r="A198">
        <v>1</v>
      </c>
      <c r="B198" t="s">
        <v>430</v>
      </c>
      <c r="C198">
        <v>420</v>
      </c>
      <c r="D198">
        <v>1378</v>
      </c>
    </row>
    <row r="199" spans="1:4" x14ac:dyDescent="0.25">
      <c r="A199">
        <v>1</v>
      </c>
      <c r="B199" t="s">
        <v>424</v>
      </c>
      <c r="C199">
        <v>416</v>
      </c>
      <c r="D199">
        <v>1365</v>
      </c>
    </row>
    <row r="200" spans="1:4" x14ac:dyDescent="0.25">
      <c r="A200">
        <v>1</v>
      </c>
      <c r="B200" t="s">
        <v>789</v>
      </c>
      <c r="C200">
        <v>415</v>
      </c>
      <c r="D200">
        <v>1362</v>
      </c>
    </row>
    <row r="201" spans="1:4" x14ac:dyDescent="0.25">
      <c r="A201">
        <v>1</v>
      </c>
      <c r="B201" t="s">
        <v>737</v>
      </c>
      <c r="C201">
        <v>405</v>
      </c>
      <c r="D201">
        <v>1329</v>
      </c>
    </row>
    <row r="202" spans="1:4" x14ac:dyDescent="0.25">
      <c r="A202">
        <v>1</v>
      </c>
      <c r="B202" t="s">
        <v>969</v>
      </c>
      <c r="C202">
        <v>396</v>
      </c>
      <c r="D202">
        <v>1299</v>
      </c>
    </row>
    <row r="203" spans="1:4" x14ac:dyDescent="0.25">
      <c r="A203">
        <v>1</v>
      </c>
      <c r="B203" t="s">
        <v>523</v>
      </c>
      <c r="C203">
        <v>395</v>
      </c>
      <c r="D203">
        <v>1296</v>
      </c>
    </row>
    <row r="204" spans="1:4" x14ac:dyDescent="0.25">
      <c r="A204">
        <v>1</v>
      </c>
      <c r="B204" t="s">
        <v>953</v>
      </c>
      <c r="C204">
        <v>388</v>
      </c>
      <c r="D204">
        <v>1273</v>
      </c>
    </row>
    <row r="205" spans="1:4" x14ac:dyDescent="0.25">
      <c r="A205">
        <v>1</v>
      </c>
      <c r="B205" t="s">
        <v>707</v>
      </c>
      <c r="C205">
        <v>376</v>
      </c>
      <c r="D205">
        <v>1234</v>
      </c>
    </row>
    <row r="206" spans="1:4" x14ac:dyDescent="0.25">
      <c r="A206">
        <v>1</v>
      </c>
      <c r="B206" t="s">
        <v>605</v>
      </c>
      <c r="C206">
        <v>373</v>
      </c>
      <c r="D206">
        <v>1224</v>
      </c>
    </row>
    <row r="207" spans="1:4" x14ac:dyDescent="0.25">
      <c r="A207">
        <v>1</v>
      </c>
      <c r="B207" t="s">
        <v>601</v>
      </c>
      <c r="C207">
        <v>367</v>
      </c>
      <c r="D207">
        <v>1204</v>
      </c>
    </row>
    <row r="208" spans="1:4" x14ac:dyDescent="0.25">
      <c r="A208">
        <v>1</v>
      </c>
      <c r="B208" t="s">
        <v>1000</v>
      </c>
      <c r="C208">
        <v>364</v>
      </c>
      <c r="D208">
        <v>1194</v>
      </c>
    </row>
    <row r="209" spans="1:4" x14ac:dyDescent="0.25">
      <c r="A209">
        <v>1</v>
      </c>
      <c r="B209" t="s">
        <v>1055</v>
      </c>
      <c r="C209">
        <v>359</v>
      </c>
      <c r="D209">
        <v>1178</v>
      </c>
    </row>
    <row r="210" spans="1:4" x14ac:dyDescent="0.25">
      <c r="A210">
        <v>1</v>
      </c>
      <c r="B210" t="s">
        <v>831</v>
      </c>
      <c r="C210">
        <v>357</v>
      </c>
      <c r="D210">
        <v>1171</v>
      </c>
    </row>
    <row r="211" spans="1:4" x14ac:dyDescent="0.25">
      <c r="A211">
        <v>1</v>
      </c>
      <c r="B211" t="s">
        <v>1066</v>
      </c>
      <c r="C211">
        <v>355</v>
      </c>
      <c r="D211">
        <v>1165</v>
      </c>
    </row>
    <row r="212" spans="1:4" x14ac:dyDescent="0.25">
      <c r="A212">
        <v>1</v>
      </c>
      <c r="B212" t="s">
        <v>805</v>
      </c>
      <c r="C212">
        <v>335</v>
      </c>
      <c r="D212">
        <v>1099</v>
      </c>
    </row>
    <row r="213" spans="1:4" x14ac:dyDescent="0.25">
      <c r="A213">
        <v>1</v>
      </c>
      <c r="B213" t="s">
        <v>662</v>
      </c>
      <c r="C213">
        <v>323</v>
      </c>
      <c r="D213">
        <v>1060</v>
      </c>
    </row>
    <row r="214" spans="1:4" x14ac:dyDescent="0.25">
      <c r="A214">
        <v>1</v>
      </c>
      <c r="B214" t="s">
        <v>826</v>
      </c>
      <c r="C214">
        <v>317</v>
      </c>
      <c r="D214">
        <v>1040</v>
      </c>
    </row>
    <row r="215" spans="1:4" x14ac:dyDescent="0.25">
      <c r="A215">
        <v>1</v>
      </c>
      <c r="B215" t="s">
        <v>723</v>
      </c>
      <c r="C215">
        <v>298</v>
      </c>
      <c r="D215">
        <v>978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5"/>
  <sheetViews>
    <sheetView workbookViewId="0">
      <selection sqref="A1:E245"/>
    </sheetView>
  </sheetViews>
  <sheetFormatPr baseColWidth="10" defaultRowHeight="15" x14ac:dyDescent="0.25"/>
  <sheetData>
    <row r="1" spans="1:5" ht="30" x14ac:dyDescent="0.25">
      <c r="A1" s="2" t="s">
        <v>1900</v>
      </c>
      <c r="B1" s="2" t="s">
        <v>1901</v>
      </c>
      <c r="C1" s="17" t="s">
        <v>1902</v>
      </c>
      <c r="D1" s="2" t="s">
        <v>1903</v>
      </c>
      <c r="E1" s="17" t="s">
        <v>1904</v>
      </c>
    </row>
    <row r="2" spans="1:5" ht="210" x14ac:dyDescent="0.25">
      <c r="A2" s="2">
        <v>1</v>
      </c>
      <c r="B2" s="2">
        <v>1</v>
      </c>
      <c r="C2" s="2" t="s">
        <v>685</v>
      </c>
      <c r="D2" s="2">
        <v>3208</v>
      </c>
      <c r="E2" s="2" t="s">
        <v>1905</v>
      </c>
    </row>
    <row r="3" spans="1:5" ht="75" x14ac:dyDescent="0.25">
      <c r="A3" s="2">
        <v>2</v>
      </c>
      <c r="B3" s="2">
        <v>2</v>
      </c>
      <c r="C3" s="2" t="s">
        <v>717</v>
      </c>
      <c r="D3" s="2">
        <v>3162</v>
      </c>
      <c r="E3" s="2" t="s">
        <v>1906</v>
      </c>
    </row>
    <row r="4" spans="1:5" ht="165" x14ac:dyDescent="0.25">
      <c r="A4" s="2">
        <v>3</v>
      </c>
      <c r="B4" s="2">
        <v>3</v>
      </c>
      <c r="C4" s="2" t="s">
        <v>967</v>
      </c>
      <c r="D4" s="2">
        <v>3118</v>
      </c>
      <c r="E4" s="2" t="s">
        <v>1907</v>
      </c>
    </row>
    <row r="5" spans="1:5" ht="90" x14ac:dyDescent="0.25">
      <c r="A5" s="2">
        <v>4</v>
      </c>
      <c r="B5" s="2"/>
      <c r="C5" s="2" t="s">
        <v>1908</v>
      </c>
      <c r="D5" s="2">
        <v>3068</v>
      </c>
      <c r="E5" s="2" t="s">
        <v>1909</v>
      </c>
    </row>
    <row r="6" spans="1:5" ht="135" x14ac:dyDescent="0.25">
      <c r="A6" s="2">
        <v>5</v>
      </c>
      <c r="B6" s="2">
        <v>4</v>
      </c>
      <c r="C6" s="2" t="s">
        <v>526</v>
      </c>
      <c r="D6" s="2">
        <v>3054</v>
      </c>
      <c r="E6" s="2" t="s">
        <v>1910</v>
      </c>
    </row>
    <row r="7" spans="1:5" ht="90" x14ac:dyDescent="0.25">
      <c r="A7" s="2">
        <v>6</v>
      </c>
      <c r="B7" s="2"/>
      <c r="C7" s="2" t="s">
        <v>1911</v>
      </c>
      <c r="D7" s="2">
        <v>3051</v>
      </c>
      <c r="E7" s="2" t="s">
        <v>1909</v>
      </c>
    </row>
    <row r="8" spans="1:5" ht="105" x14ac:dyDescent="0.25">
      <c r="A8" s="2">
        <v>7</v>
      </c>
      <c r="B8" s="2"/>
      <c r="C8" s="2" t="s">
        <v>1912</v>
      </c>
      <c r="D8" s="2">
        <v>3034</v>
      </c>
      <c r="E8" s="2" t="s">
        <v>1913</v>
      </c>
    </row>
    <row r="9" spans="1:5" ht="210" x14ac:dyDescent="0.25">
      <c r="A9" s="2">
        <v>8</v>
      </c>
      <c r="B9" s="2">
        <v>5</v>
      </c>
      <c r="C9" s="2" t="s">
        <v>562</v>
      </c>
      <c r="D9" s="2">
        <v>2985</v>
      </c>
      <c r="E9" s="2" t="s">
        <v>1905</v>
      </c>
    </row>
    <row r="10" spans="1:5" ht="180" x14ac:dyDescent="0.25">
      <c r="A10" s="2">
        <v>9</v>
      </c>
      <c r="B10" s="2">
        <v>6</v>
      </c>
      <c r="C10" s="2" t="s">
        <v>1883</v>
      </c>
      <c r="D10" s="2">
        <v>2959</v>
      </c>
      <c r="E10" s="2" t="s">
        <v>1914</v>
      </c>
    </row>
    <row r="11" spans="1:5" ht="105" x14ac:dyDescent="0.25">
      <c r="A11" s="2">
        <v>10</v>
      </c>
      <c r="B11" s="2">
        <v>7</v>
      </c>
      <c r="C11" s="2" t="s">
        <v>569</v>
      </c>
      <c r="D11" s="2">
        <v>2949</v>
      </c>
      <c r="E11" s="2" t="s">
        <v>1915</v>
      </c>
    </row>
    <row r="12" spans="1:5" ht="105" x14ac:dyDescent="0.25">
      <c r="A12" s="2">
        <v>11</v>
      </c>
      <c r="B12" s="2">
        <v>8</v>
      </c>
      <c r="C12" s="2" t="s">
        <v>720</v>
      </c>
      <c r="D12" s="2">
        <v>2926</v>
      </c>
      <c r="E12" s="2" t="s">
        <v>1915</v>
      </c>
    </row>
    <row r="13" spans="1:5" ht="30" x14ac:dyDescent="0.25">
      <c r="A13" s="2">
        <v>12</v>
      </c>
      <c r="B13" s="2">
        <v>9</v>
      </c>
      <c r="C13" s="2" t="s">
        <v>710</v>
      </c>
      <c r="D13" s="2">
        <v>2923</v>
      </c>
      <c r="E13" t="s">
        <v>1916</v>
      </c>
    </row>
    <row r="14" spans="1:5" ht="30" x14ac:dyDescent="0.25">
      <c r="A14" s="2">
        <v>13</v>
      </c>
      <c r="B14" s="2">
        <v>10</v>
      </c>
      <c r="C14" s="2" t="s">
        <v>713</v>
      </c>
      <c r="D14" s="2">
        <v>2919</v>
      </c>
      <c r="E14" t="s">
        <v>1916</v>
      </c>
    </row>
    <row r="15" spans="1:5" ht="180" x14ac:dyDescent="0.25">
      <c r="A15" s="2">
        <v>14</v>
      </c>
      <c r="B15" s="2">
        <v>11</v>
      </c>
      <c r="C15" s="2" t="s">
        <v>403</v>
      </c>
      <c r="D15" s="2">
        <v>2903</v>
      </c>
      <c r="E15" s="2" t="s">
        <v>1914</v>
      </c>
    </row>
    <row r="16" spans="1:5" ht="105" x14ac:dyDescent="0.25">
      <c r="A16" s="2">
        <v>15</v>
      </c>
      <c r="B16" s="2">
        <v>12</v>
      </c>
      <c r="C16" s="2" t="s">
        <v>452</v>
      </c>
      <c r="D16" s="2">
        <v>2896</v>
      </c>
      <c r="E16" s="2" t="s">
        <v>1913</v>
      </c>
    </row>
    <row r="17" spans="1:5" ht="60" x14ac:dyDescent="0.25">
      <c r="A17" s="2">
        <v>16</v>
      </c>
      <c r="B17" s="2">
        <v>13</v>
      </c>
      <c r="C17" s="2" t="s">
        <v>427</v>
      </c>
      <c r="D17" s="2">
        <v>2864</v>
      </c>
      <c r="E17" s="2" t="s">
        <v>1917</v>
      </c>
    </row>
    <row r="18" spans="1:5" ht="90" x14ac:dyDescent="0.25">
      <c r="A18" s="2">
        <v>17</v>
      </c>
      <c r="B18" s="2">
        <v>14</v>
      </c>
      <c r="C18" s="2" t="s">
        <v>1040</v>
      </c>
      <c r="D18" s="2">
        <v>2847</v>
      </c>
      <c r="E18" s="2" t="s">
        <v>1918</v>
      </c>
    </row>
    <row r="19" spans="1:5" ht="90" x14ac:dyDescent="0.25">
      <c r="A19" s="2">
        <v>18</v>
      </c>
      <c r="B19" s="2">
        <v>15</v>
      </c>
      <c r="C19" s="2" t="s">
        <v>504</v>
      </c>
      <c r="D19" s="2">
        <v>2837</v>
      </c>
      <c r="E19" s="2" t="s">
        <v>1919</v>
      </c>
    </row>
    <row r="20" spans="1:5" ht="105" x14ac:dyDescent="0.25">
      <c r="A20" s="2">
        <v>19</v>
      </c>
      <c r="B20" s="2">
        <v>16</v>
      </c>
      <c r="C20" s="2" t="s">
        <v>1058</v>
      </c>
      <c r="D20" s="2">
        <v>2831</v>
      </c>
      <c r="E20" s="2" t="s">
        <v>1913</v>
      </c>
    </row>
    <row r="21" spans="1:5" ht="90" x14ac:dyDescent="0.25">
      <c r="A21" s="2">
        <v>20</v>
      </c>
      <c r="B21" s="2">
        <v>17</v>
      </c>
      <c r="C21" s="2" t="s">
        <v>1019</v>
      </c>
      <c r="D21" s="2">
        <v>2818</v>
      </c>
      <c r="E21" s="2" t="s">
        <v>1920</v>
      </c>
    </row>
    <row r="22" spans="1:5" ht="120" x14ac:dyDescent="0.25">
      <c r="A22" s="2">
        <v>21</v>
      </c>
      <c r="B22" s="2">
        <v>18</v>
      </c>
      <c r="C22" s="2" t="s">
        <v>1921</v>
      </c>
      <c r="D22" s="2">
        <v>2814</v>
      </c>
      <c r="E22" s="2" t="s">
        <v>1922</v>
      </c>
    </row>
    <row r="23" spans="1:5" ht="90" x14ac:dyDescent="0.25">
      <c r="A23" s="2">
        <v>22</v>
      </c>
      <c r="B23" s="2">
        <v>19</v>
      </c>
      <c r="C23" s="2" t="s">
        <v>479</v>
      </c>
      <c r="D23" s="2">
        <v>2811</v>
      </c>
      <c r="E23" s="2" t="s">
        <v>1923</v>
      </c>
    </row>
    <row r="24" spans="1:5" ht="60" x14ac:dyDescent="0.25">
      <c r="A24" s="2">
        <v>23</v>
      </c>
      <c r="B24" s="2">
        <v>20</v>
      </c>
      <c r="C24" s="2" t="s">
        <v>482</v>
      </c>
      <c r="D24" s="2">
        <v>2795</v>
      </c>
      <c r="E24" s="2" t="s">
        <v>1924</v>
      </c>
    </row>
    <row r="25" spans="1:5" ht="150" x14ac:dyDescent="0.25">
      <c r="A25" s="2">
        <v>24</v>
      </c>
      <c r="B25" s="2">
        <v>21</v>
      </c>
      <c r="C25" s="2" t="s">
        <v>929</v>
      </c>
      <c r="D25" s="2">
        <v>2765</v>
      </c>
      <c r="E25" s="2" t="s">
        <v>1925</v>
      </c>
    </row>
    <row r="26" spans="1:5" ht="150" x14ac:dyDescent="0.25">
      <c r="A26" s="2">
        <v>25</v>
      </c>
      <c r="B26" s="2">
        <v>22</v>
      </c>
      <c r="C26" s="2" t="s">
        <v>1926</v>
      </c>
      <c r="D26" s="2">
        <v>2759</v>
      </c>
      <c r="E26" s="2" t="s">
        <v>1927</v>
      </c>
    </row>
    <row r="27" spans="1:5" ht="90" x14ac:dyDescent="0.25">
      <c r="A27" s="2">
        <v>26</v>
      </c>
      <c r="B27" s="2">
        <v>23</v>
      </c>
      <c r="C27" s="2" t="s">
        <v>898</v>
      </c>
      <c r="D27" s="2">
        <v>2756</v>
      </c>
      <c r="E27" s="2" t="s">
        <v>1928</v>
      </c>
    </row>
    <row r="28" spans="1:5" ht="60" x14ac:dyDescent="0.25">
      <c r="A28" s="2">
        <v>27</v>
      </c>
      <c r="B28" s="2">
        <v>24</v>
      </c>
      <c r="C28" s="2" t="s">
        <v>1929</v>
      </c>
      <c r="D28" s="2">
        <v>2752</v>
      </c>
      <c r="E28" s="2" t="s">
        <v>1924</v>
      </c>
    </row>
    <row r="29" spans="1:5" ht="105" x14ac:dyDescent="0.25">
      <c r="A29" s="2">
        <v>28</v>
      </c>
      <c r="B29" s="2">
        <v>25</v>
      </c>
      <c r="C29" s="2" t="s">
        <v>863</v>
      </c>
      <c r="D29" s="2">
        <v>2716</v>
      </c>
      <c r="E29" s="2" t="s">
        <v>1930</v>
      </c>
    </row>
    <row r="30" spans="1:5" ht="105" x14ac:dyDescent="0.25">
      <c r="A30" s="2">
        <v>29</v>
      </c>
      <c r="B30" s="2">
        <v>26</v>
      </c>
      <c r="C30" s="2" t="s">
        <v>1047</v>
      </c>
      <c r="D30" s="2">
        <v>2709</v>
      </c>
      <c r="E30" s="2" t="s">
        <v>1931</v>
      </c>
    </row>
    <row r="31" spans="1:5" ht="105" x14ac:dyDescent="0.25">
      <c r="A31" s="2">
        <v>30</v>
      </c>
      <c r="B31" s="2">
        <v>27</v>
      </c>
      <c r="C31" s="2" t="s">
        <v>1005</v>
      </c>
      <c r="D31" s="2">
        <v>2696</v>
      </c>
      <c r="E31" s="2" t="s">
        <v>1932</v>
      </c>
    </row>
    <row r="32" spans="1:5" ht="150" x14ac:dyDescent="0.25">
      <c r="A32" s="2">
        <v>31</v>
      </c>
      <c r="B32" s="2">
        <v>28</v>
      </c>
      <c r="C32" s="2" t="s">
        <v>1025</v>
      </c>
      <c r="D32" s="2">
        <v>2686</v>
      </c>
      <c r="E32" s="2" t="s">
        <v>1927</v>
      </c>
    </row>
    <row r="33" spans="1:5" ht="60" x14ac:dyDescent="0.25">
      <c r="A33" s="2">
        <v>32</v>
      </c>
      <c r="B33" s="2">
        <v>29</v>
      </c>
      <c r="C33" s="2" t="s">
        <v>501</v>
      </c>
      <c r="D33" s="2">
        <v>2647</v>
      </c>
      <c r="E33" s="2" t="s">
        <v>1933</v>
      </c>
    </row>
    <row r="34" spans="1:5" ht="60" x14ac:dyDescent="0.25">
      <c r="A34" s="2">
        <v>33</v>
      </c>
      <c r="B34" s="2">
        <v>30</v>
      </c>
      <c r="C34" s="2" t="s">
        <v>1934</v>
      </c>
      <c r="D34" s="2">
        <v>2634</v>
      </c>
      <c r="E34" s="2" t="s">
        <v>1935</v>
      </c>
    </row>
    <row r="35" spans="1:5" ht="45" x14ac:dyDescent="0.25">
      <c r="A35" s="2">
        <v>34</v>
      </c>
      <c r="B35" s="2">
        <v>31</v>
      </c>
      <c r="C35" s="2" t="s">
        <v>1936</v>
      </c>
      <c r="D35" s="2">
        <v>2631</v>
      </c>
      <c r="E35" t="s">
        <v>1937</v>
      </c>
    </row>
    <row r="36" spans="1:5" ht="105" x14ac:dyDescent="0.25">
      <c r="A36" s="2">
        <v>35</v>
      </c>
      <c r="B36" s="2">
        <v>32</v>
      </c>
      <c r="C36" s="2" t="s">
        <v>774</v>
      </c>
      <c r="D36" s="2">
        <v>2631</v>
      </c>
      <c r="E36" s="2" t="s">
        <v>1915</v>
      </c>
    </row>
    <row r="37" spans="1:5" ht="60" x14ac:dyDescent="0.25">
      <c r="A37" s="2">
        <v>36</v>
      </c>
      <c r="B37" s="2">
        <v>33</v>
      </c>
      <c r="C37" s="2" t="s">
        <v>1074</v>
      </c>
      <c r="D37" s="2">
        <v>2631</v>
      </c>
      <c r="E37" s="2" t="s">
        <v>1935</v>
      </c>
    </row>
    <row r="38" spans="1:5" ht="30" x14ac:dyDescent="0.25">
      <c r="A38" s="2">
        <v>37</v>
      </c>
      <c r="B38" s="2">
        <v>34</v>
      </c>
      <c r="C38" s="2" t="s">
        <v>550</v>
      </c>
      <c r="D38" s="2">
        <v>2627</v>
      </c>
      <c r="E38" t="s">
        <v>1938</v>
      </c>
    </row>
    <row r="39" spans="1:5" x14ac:dyDescent="0.25">
      <c r="A39" s="2">
        <v>38</v>
      </c>
      <c r="B39" s="2">
        <v>35</v>
      </c>
      <c r="C39" s="2" t="s">
        <v>912</v>
      </c>
      <c r="D39" s="2">
        <v>2624</v>
      </c>
      <c r="E39" t="s">
        <v>1939</v>
      </c>
    </row>
    <row r="40" spans="1:5" ht="75" x14ac:dyDescent="0.25">
      <c r="A40" s="2">
        <v>39</v>
      </c>
      <c r="B40" s="2">
        <v>36</v>
      </c>
      <c r="C40" s="2" t="s">
        <v>973</v>
      </c>
      <c r="D40" s="2">
        <v>2614</v>
      </c>
      <c r="E40" s="2" t="s">
        <v>1940</v>
      </c>
    </row>
    <row r="41" spans="1:5" ht="60" x14ac:dyDescent="0.25">
      <c r="A41" s="2">
        <v>40</v>
      </c>
      <c r="B41" s="2">
        <v>37</v>
      </c>
      <c r="C41" s="2" t="s">
        <v>631</v>
      </c>
      <c r="D41" s="2">
        <v>2611</v>
      </c>
      <c r="E41" s="2" t="s">
        <v>1935</v>
      </c>
    </row>
    <row r="42" spans="1:5" ht="150" x14ac:dyDescent="0.25">
      <c r="A42" s="2">
        <v>41</v>
      </c>
      <c r="B42" s="2">
        <v>38</v>
      </c>
      <c r="C42" s="2" t="s">
        <v>780</v>
      </c>
      <c r="D42" s="2">
        <v>2598</v>
      </c>
      <c r="E42" s="2" t="s">
        <v>1941</v>
      </c>
    </row>
    <row r="43" spans="1:5" ht="105" x14ac:dyDescent="0.25">
      <c r="A43" s="2">
        <v>42</v>
      </c>
      <c r="B43" s="2">
        <v>39</v>
      </c>
      <c r="C43" s="2" t="s">
        <v>784</v>
      </c>
      <c r="D43" s="2">
        <v>2598</v>
      </c>
      <c r="E43" s="2" t="s">
        <v>1930</v>
      </c>
    </row>
    <row r="44" spans="1:5" ht="30" x14ac:dyDescent="0.25">
      <c r="A44" s="2">
        <v>43</v>
      </c>
      <c r="B44" s="2">
        <v>40</v>
      </c>
      <c r="C44" s="2" t="s">
        <v>786</v>
      </c>
      <c r="D44" s="2">
        <v>2595</v>
      </c>
      <c r="E44" t="s">
        <v>1942</v>
      </c>
    </row>
    <row r="45" spans="1:5" ht="90" x14ac:dyDescent="0.25">
      <c r="A45" s="2">
        <v>44</v>
      </c>
      <c r="B45" s="2">
        <v>41</v>
      </c>
      <c r="C45" s="2" t="s">
        <v>577</v>
      </c>
      <c r="D45" s="2">
        <v>2588</v>
      </c>
      <c r="E45" s="2" t="s">
        <v>1923</v>
      </c>
    </row>
    <row r="46" spans="1:5" ht="105" x14ac:dyDescent="0.25">
      <c r="A46" s="2">
        <v>45</v>
      </c>
      <c r="B46" s="2">
        <v>42</v>
      </c>
      <c r="C46" s="2" t="s">
        <v>852</v>
      </c>
      <c r="D46" s="2">
        <v>2575</v>
      </c>
      <c r="E46" s="2" t="s">
        <v>1943</v>
      </c>
    </row>
    <row r="47" spans="1:5" ht="135" x14ac:dyDescent="0.25">
      <c r="A47" s="2">
        <v>46</v>
      </c>
      <c r="B47" s="2">
        <v>43</v>
      </c>
      <c r="C47" s="2" t="s">
        <v>849</v>
      </c>
      <c r="D47" s="2">
        <v>2572</v>
      </c>
      <c r="E47" s="2" t="s">
        <v>1944</v>
      </c>
    </row>
    <row r="48" spans="1:5" x14ac:dyDescent="0.25">
      <c r="A48" s="2">
        <v>47</v>
      </c>
      <c r="B48" s="2">
        <v>44</v>
      </c>
      <c r="C48" s="2" t="s">
        <v>793</v>
      </c>
      <c r="D48" s="2">
        <v>2568</v>
      </c>
      <c r="E48" t="s">
        <v>1945</v>
      </c>
    </row>
    <row r="49" spans="1:5" ht="60" x14ac:dyDescent="0.25">
      <c r="A49" s="2">
        <v>48</v>
      </c>
      <c r="B49" s="2">
        <v>45</v>
      </c>
      <c r="C49" s="2" t="s">
        <v>446</v>
      </c>
      <c r="D49" s="2">
        <v>2558</v>
      </c>
      <c r="E49" s="2" t="s">
        <v>1935</v>
      </c>
    </row>
    <row r="50" spans="1:5" ht="105" x14ac:dyDescent="0.25">
      <c r="A50" s="2">
        <v>49</v>
      </c>
      <c r="B50" s="2">
        <v>46</v>
      </c>
      <c r="C50" s="2" t="s">
        <v>771</v>
      </c>
      <c r="D50" s="2">
        <v>2560</v>
      </c>
      <c r="E50" s="2" t="s">
        <v>1930</v>
      </c>
    </row>
    <row r="51" spans="1:5" ht="60" x14ac:dyDescent="0.25">
      <c r="A51" s="2">
        <v>50</v>
      </c>
      <c r="B51" s="2">
        <v>47</v>
      </c>
      <c r="C51" s="2" t="s">
        <v>413</v>
      </c>
      <c r="D51" s="2">
        <v>2552</v>
      </c>
      <c r="E51" s="2" t="s">
        <v>1935</v>
      </c>
    </row>
    <row r="52" spans="1:5" ht="90" x14ac:dyDescent="0.25">
      <c r="A52" s="2">
        <v>51</v>
      </c>
      <c r="B52" s="2">
        <v>48</v>
      </c>
      <c r="C52" s="2" t="s">
        <v>854</v>
      </c>
      <c r="D52" s="2">
        <v>2552</v>
      </c>
      <c r="E52" s="2" t="s">
        <v>1946</v>
      </c>
    </row>
    <row r="53" spans="1:5" ht="75" x14ac:dyDescent="0.25">
      <c r="A53" s="2">
        <v>52</v>
      </c>
      <c r="B53" s="2">
        <v>49</v>
      </c>
      <c r="C53" s="2" t="s">
        <v>846</v>
      </c>
      <c r="D53" s="2">
        <v>2545</v>
      </c>
      <c r="E53" s="2" t="s">
        <v>1947</v>
      </c>
    </row>
    <row r="54" spans="1:5" x14ac:dyDescent="0.25">
      <c r="A54" s="2">
        <v>53</v>
      </c>
      <c r="B54" s="2">
        <v>50</v>
      </c>
      <c r="C54" s="2" t="s">
        <v>1046</v>
      </c>
      <c r="D54" s="2">
        <v>2536</v>
      </c>
      <c r="E54" t="s">
        <v>1948</v>
      </c>
    </row>
    <row r="55" spans="1:5" x14ac:dyDescent="0.25">
      <c r="A55" s="2">
        <v>54</v>
      </c>
      <c r="B55" s="2">
        <v>51</v>
      </c>
      <c r="C55" s="2" t="s">
        <v>532</v>
      </c>
      <c r="D55" s="2">
        <v>2532</v>
      </c>
      <c r="E55" t="s">
        <v>1949</v>
      </c>
    </row>
    <row r="56" spans="1:5" x14ac:dyDescent="0.25">
      <c r="A56" s="2">
        <v>55</v>
      </c>
      <c r="B56" s="2">
        <v>52</v>
      </c>
      <c r="C56" s="2" t="s">
        <v>529</v>
      </c>
      <c r="D56" s="2">
        <v>2526</v>
      </c>
      <c r="E56" t="s">
        <v>1950</v>
      </c>
    </row>
    <row r="57" spans="1:5" ht="60" x14ac:dyDescent="0.25">
      <c r="A57" s="2">
        <v>56</v>
      </c>
      <c r="B57" s="2">
        <v>53</v>
      </c>
      <c r="C57" s="2" t="s">
        <v>535</v>
      </c>
      <c r="D57" s="2">
        <v>2526</v>
      </c>
      <c r="E57" s="2" t="s">
        <v>1924</v>
      </c>
    </row>
    <row r="58" spans="1:5" x14ac:dyDescent="0.25">
      <c r="A58" s="2">
        <v>57</v>
      </c>
      <c r="B58" s="2">
        <v>54</v>
      </c>
      <c r="C58" s="2" t="s">
        <v>539</v>
      </c>
      <c r="D58" s="2">
        <v>2513</v>
      </c>
      <c r="E58" t="s">
        <v>1951</v>
      </c>
    </row>
    <row r="59" spans="1:5" ht="105" x14ac:dyDescent="0.25">
      <c r="A59" s="2">
        <v>58</v>
      </c>
      <c r="B59" s="2">
        <v>55</v>
      </c>
      <c r="C59" s="2" t="s">
        <v>1888</v>
      </c>
      <c r="D59" s="2">
        <v>2502</v>
      </c>
      <c r="E59" s="2" t="s">
        <v>1952</v>
      </c>
    </row>
    <row r="60" spans="1:5" ht="30" x14ac:dyDescent="0.25">
      <c r="A60" s="2">
        <v>59</v>
      </c>
      <c r="B60" s="2">
        <v>56</v>
      </c>
      <c r="C60" s="2" t="s">
        <v>475</v>
      </c>
      <c r="D60" s="2">
        <v>2499</v>
      </c>
      <c r="E60" t="s">
        <v>1953</v>
      </c>
    </row>
    <row r="61" spans="1:5" ht="75" x14ac:dyDescent="0.25">
      <c r="A61" s="2">
        <v>60</v>
      </c>
      <c r="B61" s="2">
        <v>57</v>
      </c>
      <c r="C61" s="2" t="s">
        <v>507</v>
      </c>
      <c r="D61" s="2">
        <v>2499</v>
      </c>
      <c r="E61" s="2" t="s">
        <v>1906</v>
      </c>
    </row>
    <row r="62" spans="1:5" x14ac:dyDescent="0.25">
      <c r="A62" s="2">
        <v>61</v>
      </c>
      <c r="B62" s="2">
        <v>58</v>
      </c>
      <c r="C62" s="2" t="s">
        <v>545</v>
      </c>
      <c r="D62" s="2">
        <v>2499</v>
      </c>
      <c r="E62" t="s">
        <v>1954</v>
      </c>
    </row>
    <row r="63" spans="1:5" ht="90" x14ac:dyDescent="0.25">
      <c r="A63" s="2">
        <v>62</v>
      </c>
      <c r="B63" s="2">
        <v>59</v>
      </c>
      <c r="C63" s="2" t="s">
        <v>699</v>
      </c>
      <c r="D63" s="2">
        <v>2496</v>
      </c>
      <c r="E63" s="2" t="s">
        <v>1955</v>
      </c>
    </row>
    <row r="64" spans="1:5" ht="105" x14ac:dyDescent="0.25">
      <c r="A64" s="2">
        <v>63</v>
      </c>
      <c r="B64" s="2">
        <v>60</v>
      </c>
      <c r="C64" s="2" t="s">
        <v>703</v>
      </c>
      <c r="D64" s="2">
        <v>2483</v>
      </c>
      <c r="E64" s="2" t="s">
        <v>1956</v>
      </c>
    </row>
    <row r="65" spans="1:5" x14ac:dyDescent="0.25">
      <c r="A65" s="2">
        <v>64</v>
      </c>
      <c r="B65" s="2">
        <v>61</v>
      </c>
      <c r="C65" s="2" t="s">
        <v>942</v>
      </c>
      <c r="D65" s="2">
        <v>2481</v>
      </c>
      <c r="E65" t="s">
        <v>1957</v>
      </c>
    </row>
    <row r="66" spans="1:5" ht="60" x14ac:dyDescent="0.25">
      <c r="A66" s="2">
        <v>65</v>
      </c>
      <c r="B66" s="2">
        <v>62</v>
      </c>
      <c r="C66" s="2" t="s">
        <v>748</v>
      </c>
      <c r="D66" s="2">
        <v>2477</v>
      </c>
      <c r="E66" s="2" t="s">
        <v>1933</v>
      </c>
    </row>
    <row r="67" spans="1:5" ht="90" x14ac:dyDescent="0.25">
      <c r="A67" s="2">
        <v>66</v>
      </c>
      <c r="B67" s="2">
        <v>63</v>
      </c>
      <c r="C67" s="2" t="s">
        <v>882</v>
      </c>
      <c r="D67" s="2">
        <v>2470</v>
      </c>
      <c r="E67" s="2" t="s">
        <v>1958</v>
      </c>
    </row>
    <row r="68" spans="1:5" ht="90" x14ac:dyDescent="0.25">
      <c r="A68" s="2">
        <v>67</v>
      </c>
      <c r="B68" s="2">
        <v>64</v>
      </c>
      <c r="C68" s="2" t="s">
        <v>739</v>
      </c>
      <c r="D68" s="2">
        <v>2447</v>
      </c>
      <c r="E68" s="2" t="s">
        <v>1959</v>
      </c>
    </row>
    <row r="69" spans="1:5" ht="60" x14ac:dyDescent="0.25">
      <c r="A69" s="2">
        <v>68</v>
      </c>
      <c r="B69" s="2">
        <v>65</v>
      </c>
      <c r="C69" s="2" t="s">
        <v>1889</v>
      </c>
      <c r="D69" s="2">
        <v>2440</v>
      </c>
      <c r="E69" s="2" t="s">
        <v>1933</v>
      </c>
    </row>
    <row r="70" spans="1:5" ht="90" x14ac:dyDescent="0.25">
      <c r="A70" s="2">
        <v>69</v>
      </c>
      <c r="B70" s="2">
        <v>66</v>
      </c>
      <c r="C70" s="2" t="s">
        <v>886</v>
      </c>
      <c r="D70" s="2">
        <v>2423</v>
      </c>
      <c r="E70" s="2" t="s">
        <v>1960</v>
      </c>
    </row>
    <row r="71" spans="1:5" ht="90" x14ac:dyDescent="0.25">
      <c r="A71" s="2">
        <v>70</v>
      </c>
      <c r="B71" s="2">
        <v>67</v>
      </c>
      <c r="C71" s="2" t="s">
        <v>1049</v>
      </c>
      <c r="D71" s="2">
        <v>2417</v>
      </c>
      <c r="E71" s="2" t="s">
        <v>1958</v>
      </c>
    </row>
    <row r="72" spans="1:5" ht="105" x14ac:dyDescent="0.25">
      <c r="A72" s="2">
        <v>71</v>
      </c>
      <c r="B72" s="2">
        <v>68</v>
      </c>
      <c r="C72" s="2" t="s">
        <v>546</v>
      </c>
      <c r="D72" s="2">
        <v>2414</v>
      </c>
      <c r="E72" s="2" t="s">
        <v>1961</v>
      </c>
    </row>
    <row r="73" spans="1:5" x14ac:dyDescent="0.25">
      <c r="A73" s="2">
        <v>72</v>
      </c>
      <c r="B73" s="2">
        <v>69</v>
      </c>
      <c r="C73" s="2" t="s">
        <v>694</v>
      </c>
      <c r="D73" s="2">
        <v>2415</v>
      </c>
      <c r="E73" t="s">
        <v>1962</v>
      </c>
    </row>
    <row r="74" spans="1:5" x14ac:dyDescent="0.25">
      <c r="A74" s="2">
        <v>73</v>
      </c>
      <c r="B74" s="2">
        <v>70</v>
      </c>
      <c r="C74" s="2" t="s">
        <v>816</v>
      </c>
      <c r="D74" s="2">
        <v>2408</v>
      </c>
      <c r="E74" t="s">
        <v>1963</v>
      </c>
    </row>
    <row r="75" spans="1:5" ht="120" x14ac:dyDescent="0.25">
      <c r="A75" s="2">
        <v>74</v>
      </c>
      <c r="B75" s="2">
        <v>71</v>
      </c>
      <c r="C75" s="2" t="s">
        <v>684</v>
      </c>
      <c r="D75" s="2">
        <v>2394</v>
      </c>
      <c r="E75" s="2" t="s">
        <v>1964</v>
      </c>
    </row>
    <row r="76" spans="1:5" ht="90" x14ac:dyDescent="0.25">
      <c r="A76" s="2">
        <v>75</v>
      </c>
      <c r="B76" s="2">
        <v>72</v>
      </c>
      <c r="C76" s="2" t="s">
        <v>400</v>
      </c>
      <c r="D76" s="2">
        <v>2394</v>
      </c>
      <c r="E76" s="2" t="s">
        <v>1965</v>
      </c>
    </row>
    <row r="77" spans="1:5" ht="90" x14ac:dyDescent="0.25">
      <c r="A77" s="2">
        <v>76</v>
      </c>
      <c r="B77" s="2">
        <v>73</v>
      </c>
      <c r="C77" s="2" t="s">
        <v>855</v>
      </c>
      <c r="D77" s="2">
        <v>2385</v>
      </c>
      <c r="E77" s="2" t="s">
        <v>1958</v>
      </c>
    </row>
    <row r="78" spans="1:5" ht="30" x14ac:dyDescent="0.25">
      <c r="A78" s="2">
        <v>77</v>
      </c>
      <c r="B78" s="2">
        <v>74</v>
      </c>
      <c r="C78" s="2" t="s">
        <v>1003</v>
      </c>
      <c r="D78" s="2">
        <v>2381</v>
      </c>
      <c r="E78" s="2"/>
    </row>
    <row r="79" spans="1:5" x14ac:dyDescent="0.25">
      <c r="A79" s="2">
        <v>78</v>
      </c>
      <c r="B79" s="2">
        <v>75</v>
      </c>
      <c r="C79" s="2" t="s">
        <v>584</v>
      </c>
      <c r="D79" s="2">
        <v>2381</v>
      </c>
      <c r="E79" s="2"/>
    </row>
    <row r="80" spans="1:5" ht="30" x14ac:dyDescent="0.25">
      <c r="A80" s="2">
        <v>79</v>
      </c>
      <c r="B80" s="2">
        <v>76</v>
      </c>
      <c r="C80" s="2" t="s">
        <v>1070</v>
      </c>
      <c r="D80" s="2">
        <v>2372</v>
      </c>
      <c r="E80" t="s">
        <v>1953</v>
      </c>
    </row>
    <row r="81" spans="1:5" ht="105" x14ac:dyDescent="0.25">
      <c r="A81" s="2">
        <v>80</v>
      </c>
      <c r="B81" s="2">
        <v>77</v>
      </c>
      <c r="C81" s="2" t="s">
        <v>416</v>
      </c>
      <c r="D81" s="2">
        <v>2362</v>
      </c>
      <c r="E81" s="2" t="s">
        <v>1956</v>
      </c>
    </row>
    <row r="82" spans="1:5" ht="30" x14ac:dyDescent="0.25">
      <c r="A82" s="2">
        <v>81</v>
      </c>
      <c r="B82" s="2">
        <v>78</v>
      </c>
      <c r="C82" s="2" t="s">
        <v>609</v>
      </c>
      <c r="D82" s="2">
        <v>2355</v>
      </c>
      <c r="E82" t="s">
        <v>1966</v>
      </c>
    </row>
    <row r="83" spans="1:5" x14ac:dyDescent="0.25">
      <c r="A83" s="2">
        <v>82</v>
      </c>
      <c r="B83" s="2">
        <v>79</v>
      </c>
      <c r="C83" s="2" t="s">
        <v>617</v>
      </c>
      <c r="D83" s="2">
        <v>2344</v>
      </c>
      <c r="E83" t="s">
        <v>1938</v>
      </c>
    </row>
    <row r="84" spans="1:5" ht="30" x14ac:dyDescent="0.25">
      <c r="A84" s="2">
        <v>83</v>
      </c>
      <c r="B84" s="2">
        <v>80</v>
      </c>
      <c r="C84" s="2" t="s">
        <v>613</v>
      </c>
      <c r="D84" s="2">
        <v>2344</v>
      </c>
      <c r="E84" t="s">
        <v>1967</v>
      </c>
    </row>
    <row r="85" spans="1:5" x14ac:dyDescent="0.25">
      <c r="A85" s="2">
        <v>84</v>
      </c>
      <c r="B85" s="2">
        <v>81</v>
      </c>
      <c r="C85" s="2" t="s">
        <v>997</v>
      </c>
      <c r="D85" s="2">
        <v>2339</v>
      </c>
      <c r="E85" t="s">
        <v>1968</v>
      </c>
    </row>
    <row r="86" spans="1:5" x14ac:dyDescent="0.25">
      <c r="A86" s="2">
        <v>85</v>
      </c>
      <c r="B86" s="2">
        <v>82</v>
      </c>
      <c r="C86" s="2" t="s">
        <v>592</v>
      </c>
      <c r="D86" s="2">
        <v>2329</v>
      </c>
      <c r="E86" t="s">
        <v>1969</v>
      </c>
    </row>
    <row r="87" spans="1:5" ht="105" x14ac:dyDescent="0.25">
      <c r="A87" s="2">
        <v>86</v>
      </c>
      <c r="B87" s="2">
        <v>83</v>
      </c>
      <c r="C87" s="2" t="s">
        <v>1970</v>
      </c>
      <c r="D87" s="2">
        <v>2326</v>
      </c>
      <c r="E87" s="2" t="s">
        <v>1961</v>
      </c>
    </row>
    <row r="88" spans="1:5" x14ac:dyDescent="0.25">
      <c r="A88" s="2">
        <v>87</v>
      </c>
      <c r="B88" s="2">
        <v>84</v>
      </c>
      <c r="C88" s="2" t="s">
        <v>891</v>
      </c>
      <c r="D88" s="2">
        <v>2319</v>
      </c>
      <c r="E88" t="s">
        <v>1949</v>
      </c>
    </row>
    <row r="89" spans="1:5" ht="105" x14ac:dyDescent="0.25">
      <c r="A89" s="2">
        <v>88</v>
      </c>
      <c r="B89" s="2">
        <v>85</v>
      </c>
      <c r="C89" s="2" t="s">
        <v>874</v>
      </c>
      <c r="D89" s="2">
        <v>2316</v>
      </c>
      <c r="E89" s="2" t="s">
        <v>1956</v>
      </c>
    </row>
    <row r="90" spans="1:5" ht="30" x14ac:dyDescent="0.25">
      <c r="A90" s="2">
        <v>89</v>
      </c>
      <c r="B90" s="2">
        <v>86</v>
      </c>
      <c r="C90" s="2" t="s">
        <v>1971</v>
      </c>
      <c r="D90" s="2">
        <v>2312</v>
      </c>
      <c r="E90" t="s">
        <v>1972</v>
      </c>
    </row>
    <row r="91" spans="1:5" ht="30" x14ac:dyDescent="0.25">
      <c r="A91" s="2">
        <v>90</v>
      </c>
      <c r="B91" s="2">
        <v>87</v>
      </c>
      <c r="C91" s="2" t="s">
        <v>623</v>
      </c>
      <c r="D91" s="2">
        <v>2303</v>
      </c>
      <c r="E91" s="2"/>
    </row>
    <row r="92" spans="1:5" x14ac:dyDescent="0.25">
      <c r="A92" s="2">
        <v>91</v>
      </c>
      <c r="B92" s="2">
        <v>88</v>
      </c>
      <c r="C92" s="2" t="s">
        <v>989</v>
      </c>
      <c r="D92" s="2">
        <v>2299</v>
      </c>
      <c r="E92" t="s">
        <v>1972</v>
      </c>
    </row>
    <row r="93" spans="1:5" ht="105" x14ac:dyDescent="0.25">
      <c r="A93" s="2">
        <v>92</v>
      </c>
      <c r="B93" s="2">
        <v>89</v>
      </c>
      <c r="C93" s="2" t="s">
        <v>986</v>
      </c>
      <c r="D93" s="2">
        <v>2296</v>
      </c>
      <c r="E93" s="2" t="s">
        <v>1961</v>
      </c>
    </row>
    <row r="94" spans="1:5" x14ac:dyDescent="0.25">
      <c r="A94" s="2">
        <v>93</v>
      </c>
      <c r="B94" s="2">
        <v>90</v>
      </c>
      <c r="C94" s="2" t="s">
        <v>442</v>
      </c>
      <c r="D94" s="2">
        <v>2293</v>
      </c>
      <c r="E94" s="2"/>
    </row>
    <row r="95" spans="1:5" x14ac:dyDescent="0.25">
      <c r="A95" s="2">
        <v>94</v>
      </c>
      <c r="B95" s="2">
        <v>91</v>
      </c>
      <c r="C95" s="2" t="s">
        <v>1039</v>
      </c>
      <c r="D95" s="2">
        <v>2287</v>
      </c>
      <c r="E95" s="2"/>
    </row>
    <row r="96" spans="1:5" ht="75" x14ac:dyDescent="0.25">
      <c r="A96" s="2">
        <v>95</v>
      </c>
      <c r="B96" s="2">
        <v>92</v>
      </c>
      <c r="C96" s="2" t="s">
        <v>900</v>
      </c>
      <c r="D96" s="2">
        <v>2283</v>
      </c>
      <c r="E96" s="2" t="s">
        <v>1973</v>
      </c>
    </row>
    <row r="97" spans="1:5" x14ac:dyDescent="0.25">
      <c r="A97" s="2">
        <v>96</v>
      </c>
      <c r="B97" s="2">
        <v>93</v>
      </c>
      <c r="C97" s="2" t="s">
        <v>691</v>
      </c>
      <c r="D97" s="2">
        <v>2270</v>
      </c>
      <c r="E97" t="s">
        <v>1974</v>
      </c>
    </row>
    <row r="98" spans="1:5" x14ac:dyDescent="0.25">
      <c r="A98" s="2">
        <v>97</v>
      </c>
      <c r="B98" s="2">
        <v>94</v>
      </c>
      <c r="C98" s="2" t="s">
        <v>1029</v>
      </c>
      <c r="D98" s="2">
        <v>2263</v>
      </c>
      <c r="E98" s="2"/>
    </row>
    <row r="99" spans="1:5" x14ac:dyDescent="0.25">
      <c r="A99" s="2">
        <v>98</v>
      </c>
      <c r="B99" s="2">
        <v>95</v>
      </c>
      <c r="C99" s="2" t="s">
        <v>397</v>
      </c>
      <c r="D99" s="2">
        <v>2263</v>
      </c>
      <c r="E99" t="s">
        <v>1969</v>
      </c>
    </row>
    <row r="100" spans="1:5" x14ac:dyDescent="0.25">
      <c r="A100" s="2">
        <v>99</v>
      </c>
      <c r="B100" s="2">
        <v>96</v>
      </c>
      <c r="C100" s="2" t="s">
        <v>587</v>
      </c>
      <c r="D100" s="2">
        <v>2263</v>
      </c>
      <c r="E100" t="s">
        <v>1963</v>
      </c>
    </row>
    <row r="101" spans="1:5" ht="30" x14ac:dyDescent="0.25">
      <c r="A101" s="2">
        <v>100</v>
      </c>
      <c r="B101" s="2">
        <v>97</v>
      </c>
      <c r="C101" s="2" t="s">
        <v>908</v>
      </c>
      <c r="D101" s="2">
        <v>2241</v>
      </c>
      <c r="E101" s="2"/>
    </row>
    <row r="102" spans="1:5" ht="105" x14ac:dyDescent="0.25">
      <c r="A102" s="2">
        <v>101</v>
      </c>
      <c r="B102" s="2">
        <v>98</v>
      </c>
      <c r="C102" s="2" t="s">
        <v>809</v>
      </c>
      <c r="D102" s="2">
        <v>2230</v>
      </c>
      <c r="E102" s="2" t="s">
        <v>1961</v>
      </c>
    </row>
    <row r="103" spans="1:5" ht="30" x14ac:dyDescent="0.25">
      <c r="A103" s="2">
        <v>102</v>
      </c>
      <c r="B103" s="2">
        <v>99</v>
      </c>
      <c r="C103" s="2" t="s">
        <v>515</v>
      </c>
      <c r="D103" s="2">
        <v>2214</v>
      </c>
      <c r="E103" t="s">
        <v>1966</v>
      </c>
    </row>
    <row r="104" spans="1:5" x14ac:dyDescent="0.25">
      <c r="A104" s="2">
        <v>103</v>
      </c>
      <c r="B104" s="2">
        <v>100</v>
      </c>
      <c r="C104" s="2" t="s">
        <v>1022</v>
      </c>
      <c r="D104" s="2">
        <v>2208</v>
      </c>
      <c r="E104" t="s">
        <v>1967</v>
      </c>
    </row>
    <row r="105" spans="1:5" x14ac:dyDescent="0.25">
      <c r="A105" s="2">
        <v>104</v>
      </c>
      <c r="B105" s="2">
        <v>101</v>
      </c>
      <c r="C105" s="2" t="s">
        <v>687</v>
      </c>
      <c r="D105" s="2">
        <v>2204</v>
      </c>
      <c r="E105" t="s">
        <v>1948</v>
      </c>
    </row>
    <row r="106" spans="1:5" ht="30" x14ac:dyDescent="0.25">
      <c r="A106" s="2">
        <v>105</v>
      </c>
      <c r="B106" s="2">
        <v>102</v>
      </c>
      <c r="C106" s="2" t="s">
        <v>811</v>
      </c>
      <c r="D106" s="2">
        <v>2201</v>
      </c>
      <c r="E106" s="2"/>
    </row>
    <row r="107" spans="1:5" x14ac:dyDescent="0.25">
      <c r="A107" s="2">
        <v>106</v>
      </c>
      <c r="B107" s="2">
        <v>103</v>
      </c>
      <c r="C107" s="2" t="s">
        <v>950</v>
      </c>
      <c r="D107" s="2">
        <v>2198</v>
      </c>
      <c r="E107" t="s">
        <v>1937</v>
      </c>
    </row>
    <row r="108" spans="1:5" ht="45" x14ac:dyDescent="0.25">
      <c r="A108" s="2">
        <v>107</v>
      </c>
      <c r="B108" s="2">
        <v>104</v>
      </c>
      <c r="C108" s="2" t="s">
        <v>939</v>
      </c>
      <c r="D108" s="2">
        <v>2178</v>
      </c>
      <c r="E108" t="s">
        <v>1968</v>
      </c>
    </row>
    <row r="109" spans="1:5" x14ac:dyDescent="0.25">
      <c r="A109" s="2">
        <v>108</v>
      </c>
      <c r="B109" s="2">
        <v>105</v>
      </c>
      <c r="C109" s="2" t="s">
        <v>726</v>
      </c>
      <c r="D109" s="2">
        <v>2165</v>
      </c>
      <c r="E109" t="s">
        <v>1969</v>
      </c>
    </row>
    <row r="110" spans="1:5" ht="30" x14ac:dyDescent="0.25">
      <c r="A110" s="2">
        <v>109</v>
      </c>
      <c r="B110" s="2">
        <v>106</v>
      </c>
      <c r="C110" s="2" t="s">
        <v>878</v>
      </c>
      <c r="D110" s="2">
        <v>2165</v>
      </c>
      <c r="E110" t="s">
        <v>1975</v>
      </c>
    </row>
    <row r="111" spans="1:5" ht="30" x14ac:dyDescent="0.25">
      <c r="A111" s="2">
        <v>110</v>
      </c>
      <c r="B111" s="2">
        <v>107</v>
      </c>
      <c r="C111" s="2" t="s">
        <v>840</v>
      </c>
      <c r="D111" s="2">
        <v>2157</v>
      </c>
      <c r="E111" t="s">
        <v>1969</v>
      </c>
    </row>
    <row r="112" spans="1:5" x14ac:dyDescent="0.25">
      <c r="A112" s="2">
        <v>111</v>
      </c>
      <c r="B112" s="2">
        <v>108</v>
      </c>
      <c r="C112" s="2" t="s">
        <v>963</v>
      </c>
      <c r="D112" s="2">
        <v>2154</v>
      </c>
      <c r="E112" t="s">
        <v>1976</v>
      </c>
    </row>
    <row r="113" spans="1:5" ht="30" x14ac:dyDescent="0.25">
      <c r="A113" s="2">
        <v>112</v>
      </c>
      <c r="B113" s="2">
        <v>109</v>
      </c>
      <c r="C113" s="2" t="s">
        <v>843</v>
      </c>
      <c r="D113" s="2">
        <v>2152</v>
      </c>
      <c r="E113" t="s">
        <v>1951</v>
      </c>
    </row>
    <row r="114" spans="1:5" ht="30" x14ac:dyDescent="0.25">
      <c r="A114" s="2">
        <v>113</v>
      </c>
      <c r="B114" s="2">
        <v>110</v>
      </c>
      <c r="C114" s="2" t="s">
        <v>695</v>
      </c>
      <c r="D114" s="2">
        <v>2148</v>
      </c>
      <c r="E114" s="2"/>
    </row>
    <row r="115" spans="1:5" ht="30" x14ac:dyDescent="0.25">
      <c r="A115" s="2">
        <v>114</v>
      </c>
      <c r="B115" s="2">
        <v>111</v>
      </c>
      <c r="C115" s="2" t="s">
        <v>765</v>
      </c>
      <c r="D115" s="2">
        <v>2145</v>
      </c>
      <c r="E115" t="s">
        <v>1977</v>
      </c>
    </row>
    <row r="116" spans="1:5" ht="30" x14ac:dyDescent="0.25">
      <c r="A116" s="2">
        <v>115</v>
      </c>
      <c r="B116" s="2">
        <v>112</v>
      </c>
      <c r="C116" s="2" t="s">
        <v>907</v>
      </c>
      <c r="D116" s="2">
        <v>2142</v>
      </c>
      <c r="E116" s="2"/>
    </row>
    <row r="117" spans="1:5" x14ac:dyDescent="0.25">
      <c r="A117" s="2">
        <v>116</v>
      </c>
      <c r="B117" s="2">
        <v>113</v>
      </c>
      <c r="C117" s="2" t="s">
        <v>497</v>
      </c>
      <c r="D117" s="2">
        <v>2142</v>
      </c>
      <c r="E117" t="s">
        <v>1978</v>
      </c>
    </row>
    <row r="118" spans="1:5" ht="30" x14ac:dyDescent="0.25">
      <c r="A118" s="2">
        <v>117</v>
      </c>
      <c r="B118" s="2">
        <v>114</v>
      </c>
      <c r="C118" s="2" t="s">
        <v>573</v>
      </c>
      <c r="D118" s="2">
        <v>2135</v>
      </c>
      <c r="E118" s="2"/>
    </row>
    <row r="119" spans="1:5" x14ac:dyDescent="0.25">
      <c r="A119" s="2">
        <v>118</v>
      </c>
      <c r="B119" s="2">
        <v>115</v>
      </c>
      <c r="C119" s="2" t="s">
        <v>1979</v>
      </c>
      <c r="D119" s="2">
        <v>2132</v>
      </c>
      <c r="E119" t="s">
        <v>1980</v>
      </c>
    </row>
    <row r="120" spans="1:5" ht="30" x14ac:dyDescent="0.25">
      <c r="A120" s="2">
        <v>119</v>
      </c>
      <c r="B120" s="2">
        <v>116</v>
      </c>
      <c r="C120" s="2" t="s">
        <v>420</v>
      </c>
      <c r="D120" s="2">
        <v>2125</v>
      </c>
      <c r="E120" s="2"/>
    </row>
    <row r="121" spans="1:5" x14ac:dyDescent="0.25">
      <c r="A121" s="2">
        <v>120</v>
      </c>
      <c r="B121" s="2">
        <v>117</v>
      </c>
      <c r="C121" s="2" t="s">
        <v>670</v>
      </c>
      <c r="D121" s="2">
        <v>2120</v>
      </c>
      <c r="E121" s="2"/>
    </row>
    <row r="122" spans="1:5" x14ac:dyDescent="0.25">
      <c r="A122" s="2">
        <v>121</v>
      </c>
      <c r="B122" s="2"/>
      <c r="C122" s="2" t="s">
        <v>1981</v>
      </c>
      <c r="D122" s="2">
        <v>2099</v>
      </c>
      <c r="E122" s="2"/>
    </row>
    <row r="123" spans="1:5" x14ac:dyDescent="0.25">
      <c r="A123" s="2">
        <v>122</v>
      </c>
      <c r="B123" s="2">
        <v>118</v>
      </c>
      <c r="C123" s="2" t="s">
        <v>1032</v>
      </c>
      <c r="D123" s="2">
        <v>2093</v>
      </c>
      <c r="E123" t="s">
        <v>1968</v>
      </c>
    </row>
    <row r="124" spans="1:5" ht="30" x14ac:dyDescent="0.25">
      <c r="A124" s="2">
        <v>123</v>
      </c>
      <c r="B124" s="2">
        <v>119</v>
      </c>
      <c r="C124" s="2" t="s">
        <v>744</v>
      </c>
      <c r="D124" s="2">
        <v>2089</v>
      </c>
      <c r="E124" t="s">
        <v>1948</v>
      </c>
    </row>
    <row r="125" spans="1:5" ht="75" x14ac:dyDescent="0.25">
      <c r="A125" s="2">
        <v>124</v>
      </c>
      <c r="B125" s="2">
        <v>120</v>
      </c>
      <c r="C125" s="2" t="s">
        <v>1038</v>
      </c>
      <c r="D125" s="2">
        <v>2089</v>
      </c>
      <c r="E125" s="2" t="s">
        <v>1947</v>
      </c>
    </row>
    <row r="126" spans="1:5" ht="30" x14ac:dyDescent="0.25">
      <c r="A126" s="2">
        <v>125</v>
      </c>
      <c r="B126" s="2">
        <v>121</v>
      </c>
      <c r="C126" s="2" t="s">
        <v>764</v>
      </c>
      <c r="D126" s="2">
        <v>2077</v>
      </c>
      <c r="E126" s="2"/>
    </row>
    <row r="127" spans="1:5" ht="30" x14ac:dyDescent="0.25">
      <c r="A127" s="2">
        <v>126</v>
      </c>
      <c r="B127" s="2">
        <v>122</v>
      </c>
      <c r="C127" s="2" t="s">
        <v>619</v>
      </c>
      <c r="D127" s="2">
        <v>2076</v>
      </c>
      <c r="E127" t="s">
        <v>1938</v>
      </c>
    </row>
    <row r="128" spans="1:5" ht="30" x14ac:dyDescent="0.25">
      <c r="A128" s="2">
        <v>127</v>
      </c>
      <c r="B128" s="2">
        <v>123</v>
      </c>
      <c r="C128" s="2" t="s">
        <v>644</v>
      </c>
      <c r="D128" s="2">
        <v>2073</v>
      </c>
      <c r="E128" s="2"/>
    </row>
    <row r="129" spans="1:5" ht="30" x14ac:dyDescent="0.25">
      <c r="A129" s="2">
        <v>128</v>
      </c>
      <c r="B129" s="2"/>
      <c r="C129" s="2" t="s">
        <v>923</v>
      </c>
      <c r="D129" s="2">
        <v>2067</v>
      </c>
      <c r="E129" t="s">
        <v>1945</v>
      </c>
    </row>
    <row r="130" spans="1:5" x14ac:dyDescent="0.25">
      <c r="A130" s="2">
        <v>129</v>
      </c>
      <c r="B130" s="2">
        <v>124</v>
      </c>
      <c r="C130" s="2" t="s">
        <v>459</v>
      </c>
      <c r="D130" s="2">
        <v>2060</v>
      </c>
      <c r="E130" t="s">
        <v>1974</v>
      </c>
    </row>
    <row r="131" spans="1:5" ht="90" x14ac:dyDescent="0.25">
      <c r="A131" s="2">
        <v>130</v>
      </c>
      <c r="B131" s="2">
        <v>125</v>
      </c>
      <c r="C131" s="2" t="s">
        <v>455</v>
      </c>
      <c r="D131" s="2">
        <v>2040</v>
      </c>
      <c r="E131" s="2" t="s">
        <v>1928</v>
      </c>
    </row>
    <row r="132" spans="1:5" x14ac:dyDescent="0.25">
      <c r="A132" s="2">
        <v>131</v>
      </c>
      <c r="B132" s="2"/>
      <c r="C132" s="2" t="s">
        <v>1982</v>
      </c>
      <c r="D132" s="2">
        <v>2037</v>
      </c>
      <c r="E132" s="2"/>
    </row>
    <row r="133" spans="1:5" ht="30" x14ac:dyDescent="0.25">
      <c r="A133" s="2">
        <v>132</v>
      </c>
      <c r="B133" s="2">
        <v>126</v>
      </c>
      <c r="C133" s="2" t="s">
        <v>471</v>
      </c>
      <c r="D133" s="2">
        <v>2027</v>
      </c>
      <c r="E133" t="s">
        <v>1983</v>
      </c>
    </row>
    <row r="134" spans="1:5" ht="30" x14ac:dyDescent="0.25">
      <c r="A134" s="2">
        <v>133</v>
      </c>
      <c r="B134" s="2">
        <v>127</v>
      </c>
      <c r="C134" s="2" t="s">
        <v>438</v>
      </c>
      <c r="D134" s="2">
        <v>2020</v>
      </c>
      <c r="E134" t="s">
        <v>1938</v>
      </c>
    </row>
    <row r="135" spans="1:5" x14ac:dyDescent="0.25">
      <c r="A135" s="2">
        <v>134</v>
      </c>
      <c r="B135" s="2">
        <v>128</v>
      </c>
      <c r="C135" s="2" t="s">
        <v>467</v>
      </c>
      <c r="D135" s="2">
        <v>2007</v>
      </c>
      <c r="E135" t="s">
        <v>1951</v>
      </c>
    </row>
    <row r="136" spans="1:5" x14ac:dyDescent="0.25">
      <c r="A136" s="2">
        <v>135</v>
      </c>
      <c r="B136" s="2">
        <v>129</v>
      </c>
      <c r="C136" s="2" t="s">
        <v>463</v>
      </c>
      <c r="D136" s="2">
        <v>1998</v>
      </c>
      <c r="E136" s="2"/>
    </row>
    <row r="137" spans="1:5" x14ac:dyDescent="0.25">
      <c r="A137" s="2">
        <v>136</v>
      </c>
      <c r="B137" s="2">
        <v>130</v>
      </c>
      <c r="C137" s="2" t="s">
        <v>760</v>
      </c>
      <c r="D137" s="2">
        <v>1994</v>
      </c>
      <c r="E137" s="2"/>
    </row>
    <row r="138" spans="1:5" ht="30" x14ac:dyDescent="0.25">
      <c r="A138" s="2">
        <v>137</v>
      </c>
      <c r="B138" s="2"/>
      <c r="C138" s="2" t="s">
        <v>1984</v>
      </c>
      <c r="D138" s="2">
        <v>1968</v>
      </c>
      <c r="E138" s="2"/>
    </row>
    <row r="139" spans="1:5" ht="60" x14ac:dyDescent="0.25">
      <c r="A139" s="2">
        <v>138</v>
      </c>
      <c r="B139" s="2">
        <v>131</v>
      </c>
      <c r="C139" s="2" t="s">
        <v>1985</v>
      </c>
      <c r="D139" s="2">
        <v>1958</v>
      </c>
      <c r="E139" s="2" t="s">
        <v>1933</v>
      </c>
    </row>
    <row r="140" spans="1:5" ht="30" x14ac:dyDescent="0.25">
      <c r="A140" s="2">
        <v>139</v>
      </c>
      <c r="B140" s="2">
        <v>132</v>
      </c>
      <c r="C140" s="2" t="s">
        <v>651</v>
      </c>
      <c r="D140" s="2">
        <v>1935</v>
      </c>
      <c r="E140" s="2"/>
    </row>
    <row r="141" spans="1:5" ht="90" x14ac:dyDescent="0.25">
      <c r="A141" s="2">
        <v>140</v>
      </c>
      <c r="B141" s="2">
        <v>133</v>
      </c>
      <c r="C141" s="2" t="s">
        <v>519</v>
      </c>
      <c r="D141" s="2">
        <v>1926</v>
      </c>
      <c r="E141" s="2" t="s">
        <v>1965</v>
      </c>
    </row>
    <row r="142" spans="1:5" x14ac:dyDescent="0.25">
      <c r="A142" s="2">
        <v>141</v>
      </c>
      <c r="B142" s="2">
        <v>134</v>
      </c>
      <c r="C142" s="2" t="s">
        <v>1016</v>
      </c>
      <c r="D142" s="2">
        <v>1922</v>
      </c>
      <c r="E142" s="2"/>
    </row>
    <row r="143" spans="1:5" x14ac:dyDescent="0.25">
      <c r="A143" s="2">
        <v>142</v>
      </c>
      <c r="B143" s="2">
        <v>135</v>
      </c>
      <c r="C143" s="2" t="s">
        <v>768</v>
      </c>
      <c r="D143" s="2">
        <v>1909</v>
      </c>
      <c r="E143" t="s">
        <v>1974</v>
      </c>
    </row>
    <row r="144" spans="1:5" x14ac:dyDescent="0.25">
      <c r="A144" s="2">
        <v>143</v>
      </c>
      <c r="B144" s="2">
        <v>136</v>
      </c>
      <c r="C144" s="2" t="s">
        <v>956</v>
      </c>
      <c r="D144" s="2">
        <v>1906</v>
      </c>
      <c r="E144" s="2"/>
    </row>
    <row r="145" spans="1:5" ht="30" x14ac:dyDescent="0.25">
      <c r="A145" s="2">
        <v>144</v>
      </c>
      <c r="B145" s="2">
        <v>137</v>
      </c>
      <c r="C145" s="2" t="s">
        <v>1986</v>
      </c>
      <c r="D145" s="2">
        <v>1902</v>
      </c>
      <c r="E145" t="s">
        <v>1977</v>
      </c>
    </row>
    <row r="146" spans="1:5" ht="30" x14ac:dyDescent="0.25">
      <c r="A146" s="2">
        <v>145</v>
      </c>
      <c r="B146" s="2">
        <v>138</v>
      </c>
      <c r="C146" s="2" t="s">
        <v>820</v>
      </c>
      <c r="D146" s="2">
        <v>1889</v>
      </c>
      <c r="E146" t="s">
        <v>1978</v>
      </c>
    </row>
    <row r="147" spans="1:5" x14ac:dyDescent="0.25">
      <c r="A147" s="2">
        <v>146</v>
      </c>
      <c r="B147" s="2">
        <v>139</v>
      </c>
      <c r="C147" s="2" t="s">
        <v>1892</v>
      </c>
      <c r="D147" s="2">
        <v>1889</v>
      </c>
      <c r="E147" t="s">
        <v>1987</v>
      </c>
    </row>
    <row r="148" spans="1:5" x14ac:dyDescent="0.25">
      <c r="A148" s="2">
        <v>147</v>
      </c>
      <c r="B148" s="2">
        <v>140</v>
      </c>
      <c r="C148" s="2" t="s">
        <v>658</v>
      </c>
      <c r="D148" s="2">
        <v>1879</v>
      </c>
      <c r="E148" s="2"/>
    </row>
    <row r="149" spans="1:5" x14ac:dyDescent="0.25">
      <c r="A149" s="2">
        <v>148</v>
      </c>
      <c r="B149" s="2"/>
      <c r="C149" s="2" t="s">
        <v>1988</v>
      </c>
      <c r="D149" s="2">
        <v>1879</v>
      </c>
      <c r="E149" s="2"/>
    </row>
    <row r="150" spans="1:5" ht="30" x14ac:dyDescent="0.25">
      <c r="A150" s="2">
        <v>149</v>
      </c>
      <c r="B150" s="2">
        <v>141</v>
      </c>
      <c r="C150" s="2" t="s">
        <v>681</v>
      </c>
      <c r="D150" s="2">
        <v>1873</v>
      </c>
      <c r="E150" s="2"/>
    </row>
    <row r="151" spans="1:5" x14ac:dyDescent="0.25">
      <c r="A151" s="2">
        <v>150</v>
      </c>
      <c r="B151" s="2">
        <v>142</v>
      </c>
      <c r="C151" s="2" t="s">
        <v>915</v>
      </c>
      <c r="D151" s="2">
        <v>1863</v>
      </c>
      <c r="E151" t="s">
        <v>1989</v>
      </c>
    </row>
    <row r="152" spans="1:5" ht="120" x14ac:dyDescent="0.25">
      <c r="A152" s="2">
        <v>151</v>
      </c>
      <c r="B152" s="2">
        <v>143</v>
      </c>
      <c r="C152" s="2" t="s">
        <v>919</v>
      </c>
      <c r="D152" s="2">
        <v>1860</v>
      </c>
      <c r="E152" s="2" t="s">
        <v>1990</v>
      </c>
    </row>
    <row r="153" spans="1:5" ht="120" x14ac:dyDescent="0.25">
      <c r="A153" s="2">
        <v>152</v>
      </c>
      <c r="B153" s="2">
        <v>144</v>
      </c>
      <c r="C153" s="2" t="s">
        <v>634</v>
      </c>
      <c r="D153" s="2">
        <v>1840</v>
      </c>
      <c r="E153" s="2" t="s">
        <v>1991</v>
      </c>
    </row>
    <row r="154" spans="1:5" x14ac:dyDescent="0.25">
      <c r="A154" s="2">
        <v>153</v>
      </c>
      <c r="B154" s="2">
        <v>145</v>
      </c>
      <c r="C154" s="2" t="s">
        <v>594</v>
      </c>
      <c r="D154" s="2">
        <v>1824</v>
      </c>
      <c r="E154" s="2"/>
    </row>
    <row r="155" spans="1:5" x14ac:dyDescent="0.25">
      <c r="A155" s="2">
        <v>154</v>
      </c>
      <c r="B155" s="2">
        <v>146</v>
      </c>
      <c r="C155" s="2" t="s">
        <v>638</v>
      </c>
      <c r="D155" s="2">
        <v>1814</v>
      </c>
      <c r="E155" s="2"/>
    </row>
    <row r="156" spans="1:5" x14ac:dyDescent="0.25">
      <c r="A156" s="2">
        <v>155</v>
      </c>
      <c r="B156" s="2">
        <v>147</v>
      </c>
      <c r="C156" s="2" t="s">
        <v>797</v>
      </c>
      <c r="D156" s="2">
        <v>1811</v>
      </c>
      <c r="E156" s="2"/>
    </row>
    <row r="157" spans="1:5" x14ac:dyDescent="0.25">
      <c r="A157" s="2">
        <v>156</v>
      </c>
      <c r="B157" s="2">
        <v>148</v>
      </c>
      <c r="C157" s="2" t="s">
        <v>927</v>
      </c>
      <c r="D157" s="2">
        <v>1804</v>
      </c>
      <c r="E157" s="2"/>
    </row>
    <row r="158" spans="1:5" ht="30" x14ac:dyDescent="0.25">
      <c r="A158" s="2">
        <v>157</v>
      </c>
      <c r="B158" s="2">
        <v>149</v>
      </c>
      <c r="C158" s="2" t="s">
        <v>866</v>
      </c>
      <c r="D158" s="2">
        <v>1804</v>
      </c>
      <c r="E158" t="s">
        <v>1992</v>
      </c>
    </row>
    <row r="159" spans="1:5" ht="30" x14ac:dyDescent="0.25">
      <c r="A159" s="2">
        <v>158</v>
      </c>
      <c r="B159" s="2"/>
      <c r="C159" s="2" t="s">
        <v>1993</v>
      </c>
      <c r="D159" s="2">
        <v>1801</v>
      </c>
      <c r="E159" s="2"/>
    </row>
    <row r="160" spans="1:5" x14ac:dyDescent="0.25">
      <c r="A160" s="2">
        <v>159</v>
      </c>
      <c r="B160" s="2">
        <v>150</v>
      </c>
      <c r="C160" s="2" t="s">
        <v>1009</v>
      </c>
      <c r="D160" s="2">
        <v>1801</v>
      </c>
      <c r="E160" s="2"/>
    </row>
    <row r="161" spans="1:5" ht="30" x14ac:dyDescent="0.25">
      <c r="A161" s="2">
        <v>160</v>
      </c>
      <c r="B161" s="2"/>
      <c r="C161" s="2" t="s">
        <v>1994</v>
      </c>
      <c r="D161" s="2">
        <v>1784</v>
      </c>
      <c r="E161" s="2"/>
    </row>
    <row r="162" spans="1:5" ht="120" x14ac:dyDescent="0.25">
      <c r="A162" s="2">
        <v>161</v>
      </c>
      <c r="B162" s="2">
        <v>151</v>
      </c>
      <c r="C162" s="2" t="s">
        <v>654</v>
      </c>
      <c r="D162" s="2">
        <v>1774</v>
      </c>
      <c r="E162" s="2" t="s">
        <v>1964</v>
      </c>
    </row>
    <row r="163" spans="1:5" x14ac:dyDescent="0.25">
      <c r="A163" s="2">
        <v>162</v>
      </c>
      <c r="B163" s="2">
        <v>152</v>
      </c>
      <c r="C163" s="2" t="s">
        <v>873</v>
      </c>
      <c r="D163" s="2">
        <v>1774</v>
      </c>
      <c r="E163" s="2"/>
    </row>
    <row r="164" spans="1:5" x14ac:dyDescent="0.25">
      <c r="A164" s="2">
        <v>163</v>
      </c>
      <c r="B164" s="2">
        <v>153</v>
      </c>
      <c r="C164" s="2" t="s">
        <v>1995</v>
      </c>
      <c r="D164" s="2">
        <v>1771</v>
      </c>
      <c r="E164" t="s">
        <v>1945</v>
      </c>
    </row>
    <row r="165" spans="1:5" x14ac:dyDescent="0.25">
      <c r="A165" s="2">
        <v>164</v>
      </c>
      <c r="B165" s="2">
        <v>154</v>
      </c>
      <c r="C165" s="2" t="s">
        <v>742</v>
      </c>
      <c r="D165" s="2">
        <v>1761</v>
      </c>
      <c r="E165" s="2"/>
    </row>
    <row r="166" spans="1:5" ht="30" x14ac:dyDescent="0.25">
      <c r="A166" s="2">
        <v>165</v>
      </c>
      <c r="B166" s="2">
        <v>155</v>
      </c>
      <c r="C166" s="2" t="s">
        <v>565</v>
      </c>
      <c r="D166" s="2">
        <v>1760</v>
      </c>
      <c r="E166" s="2"/>
    </row>
    <row r="167" spans="1:5" x14ac:dyDescent="0.25">
      <c r="A167" s="2">
        <v>166</v>
      </c>
      <c r="B167" s="2">
        <v>156</v>
      </c>
      <c r="C167" s="2" t="s">
        <v>1013</v>
      </c>
      <c r="D167" s="2">
        <v>1755</v>
      </c>
      <c r="E167" s="2"/>
    </row>
    <row r="168" spans="1:5" ht="30" x14ac:dyDescent="0.25">
      <c r="A168" s="2">
        <v>167</v>
      </c>
      <c r="B168" s="2">
        <v>157</v>
      </c>
      <c r="C168" s="2" t="s">
        <v>1052</v>
      </c>
      <c r="D168" s="2">
        <v>1745</v>
      </c>
      <c r="E168" s="2"/>
    </row>
    <row r="169" spans="1:5" ht="45" x14ac:dyDescent="0.25">
      <c r="A169" s="2">
        <v>168</v>
      </c>
      <c r="B169" s="2"/>
      <c r="C169" s="2" t="s">
        <v>1996</v>
      </c>
      <c r="D169" s="2">
        <v>1742</v>
      </c>
      <c r="E169" s="2"/>
    </row>
    <row r="170" spans="1:5" x14ac:dyDescent="0.25">
      <c r="A170" s="2">
        <v>169</v>
      </c>
      <c r="B170" s="2"/>
      <c r="C170" s="2" t="s">
        <v>1997</v>
      </c>
      <c r="D170" s="2">
        <v>1735</v>
      </c>
      <c r="E170" s="2"/>
    </row>
    <row r="171" spans="1:5" x14ac:dyDescent="0.25">
      <c r="A171" s="2">
        <v>170</v>
      </c>
      <c r="B171" s="2">
        <v>158</v>
      </c>
      <c r="C171" s="2" t="s">
        <v>434</v>
      </c>
      <c r="D171" s="2">
        <v>1725</v>
      </c>
      <c r="E171" s="2"/>
    </row>
    <row r="172" spans="1:5" ht="30" x14ac:dyDescent="0.25">
      <c r="A172" s="2">
        <v>171</v>
      </c>
      <c r="B172" s="2">
        <v>159</v>
      </c>
      <c r="C172" s="2" t="s">
        <v>560</v>
      </c>
      <c r="D172" s="2">
        <v>1725</v>
      </c>
      <c r="E172" s="2"/>
    </row>
    <row r="173" spans="1:5" x14ac:dyDescent="0.25">
      <c r="A173" s="2">
        <v>172</v>
      </c>
      <c r="B173" s="2">
        <v>160</v>
      </c>
      <c r="C173" s="2" t="s">
        <v>589</v>
      </c>
      <c r="D173" s="2">
        <v>1722</v>
      </c>
      <c r="E173" s="2"/>
    </row>
    <row r="174" spans="1:5" ht="30" x14ac:dyDescent="0.25">
      <c r="A174" s="2">
        <v>173</v>
      </c>
      <c r="B174" s="2">
        <v>161</v>
      </c>
      <c r="C174" s="2" t="s">
        <v>626</v>
      </c>
      <c r="D174" s="2">
        <v>1719</v>
      </c>
      <c r="E174" s="2"/>
    </row>
    <row r="175" spans="1:5" x14ac:dyDescent="0.25">
      <c r="A175" s="2">
        <v>174</v>
      </c>
      <c r="B175" s="2">
        <v>162</v>
      </c>
      <c r="C175" s="2" t="s">
        <v>947</v>
      </c>
      <c r="D175" s="2">
        <v>1715</v>
      </c>
      <c r="E175" s="2"/>
    </row>
    <row r="176" spans="1:5" ht="30" x14ac:dyDescent="0.25">
      <c r="A176" s="2">
        <v>175</v>
      </c>
      <c r="B176" s="2">
        <v>163</v>
      </c>
      <c r="C176" s="2" t="s">
        <v>512</v>
      </c>
      <c r="D176" s="2">
        <v>1712</v>
      </c>
      <c r="E176" s="2"/>
    </row>
    <row r="177" spans="1:5" x14ac:dyDescent="0.25">
      <c r="A177" s="2">
        <v>176</v>
      </c>
      <c r="B177" s="2">
        <v>164</v>
      </c>
      <c r="C177" s="2" t="s">
        <v>409</v>
      </c>
      <c r="D177" s="2">
        <v>1706</v>
      </c>
      <c r="E177" s="2"/>
    </row>
    <row r="178" spans="1:5" ht="45" x14ac:dyDescent="0.25">
      <c r="A178" s="2">
        <v>177</v>
      </c>
      <c r="B178" s="2">
        <v>165</v>
      </c>
      <c r="C178" s="2" t="s">
        <v>836</v>
      </c>
      <c r="D178" s="2">
        <v>1702</v>
      </c>
      <c r="E178" s="2"/>
    </row>
    <row r="179" spans="1:5" x14ac:dyDescent="0.25">
      <c r="A179" s="2">
        <v>178</v>
      </c>
      <c r="B179" s="2">
        <v>166</v>
      </c>
      <c r="C179" s="2" t="s">
        <v>978</v>
      </c>
      <c r="D179" s="2">
        <v>1691</v>
      </c>
      <c r="E179" s="2"/>
    </row>
    <row r="180" spans="1:5" x14ac:dyDescent="0.25">
      <c r="A180" s="2">
        <v>179</v>
      </c>
      <c r="B180" s="2">
        <v>167</v>
      </c>
      <c r="C180" s="2" t="s">
        <v>859</v>
      </c>
      <c r="D180" s="2">
        <v>1689</v>
      </c>
      <c r="E180" s="2"/>
    </row>
    <row r="181" spans="1:5" x14ac:dyDescent="0.25">
      <c r="A181" s="2">
        <v>180</v>
      </c>
      <c r="B181" s="2">
        <v>168</v>
      </c>
      <c r="C181" s="2" t="s">
        <v>944</v>
      </c>
      <c r="D181" s="2">
        <v>1679</v>
      </c>
      <c r="E181" s="2"/>
    </row>
    <row r="182" spans="1:5" x14ac:dyDescent="0.25">
      <c r="A182" s="2">
        <v>181</v>
      </c>
      <c r="B182" s="2">
        <v>169</v>
      </c>
      <c r="C182" s="2" t="s">
        <v>489</v>
      </c>
      <c r="D182" s="2">
        <v>1676</v>
      </c>
      <c r="E182" s="2"/>
    </row>
    <row r="183" spans="1:5" x14ac:dyDescent="0.25">
      <c r="A183" s="2">
        <v>182</v>
      </c>
      <c r="B183" s="2">
        <v>170</v>
      </c>
      <c r="C183" s="2" t="s">
        <v>1998</v>
      </c>
      <c r="D183" s="2">
        <v>1669</v>
      </c>
      <c r="E183" t="s">
        <v>1987</v>
      </c>
    </row>
    <row r="184" spans="1:5" x14ac:dyDescent="0.25">
      <c r="A184" s="2">
        <v>183</v>
      </c>
      <c r="B184" s="2">
        <v>171</v>
      </c>
      <c r="C184" s="2" t="s">
        <v>966</v>
      </c>
      <c r="D184" s="2">
        <v>1669</v>
      </c>
      <c r="E184" s="2"/>
    </row>
    <row r="185" spans="1:5" x14ac:dyDescent="0.25">
      <c r="A185" s="2">
        <v>184</v>
      </c>
      <c r="B185" s="2">
        <v>172</v>
      </c>
      <c r="C185" s="2" t="s">
        <v>824</v>
      </c>
      <c r="D185" s="2">
        <v>1666</v>
      </c>
      <c r="E185" t="s">
        <v>1951</v>
      </c>
    </row>
    <row r="186" spans="1:5" ht="30" x14ac:dyDescent="0.25">
      <c r="A186" s="2">
        <v>185</v>
      </c>
      <c r="B186" s="2">
        <v>173</v>
      </c>
      <c r="C186" s="2" t="s">
        <v>870</v>
      </c>
      <c r="D186" s="2">
        <v>1657</v>
      </c>
      <c r="E186" s="2"/>
    </row>
    <row r="187" spans="1:5" x14ac:dyDescent="0.25">
      <c r="A187" s="2">
        <v>186</v>
      </c>
      <c r="B187" s="2"/>
      <c r="C187" s="2" t="s">
        <v>1999</v>
      </c>
      <c r="D187" s="2">
        <v>1650</v>
      </c>
      <c r="E187" s="2"/>
    </row>
    <row r="188" spans="1:5" x14ac:dyDescent="0.25">
      <c r="A188" s="2">
        <v>187</v>
      </c>
      <c r="B188" s="2">
        <v>174</v>
      </c>
      <c r="C188" s="2" t="s">
        <v>648</v>
      </c>
      <c r="D188" s="2">
        <v>1646</v>
      </c>
      <c r="E188" s="2"/>
    </row>
    <row r="189" spans="1:5" ht="30" x14ac:dyDescent="0.25">
      <c r="A189" s="2">
        <v>188</v>
      </c>
      <c r="B189" s="2">
        <v>175</v>
      </c>
      <c r="C189" s="2" t="s">
        <v>932</v>
      </c>
      <c r="D189" s="2">
        <v>1640</v>
      </c>
      <c r="E189" s="2"/>
    </row>
    <row r="190" spans="1:5" ht="30" x14ac:dyDescent="0.25">
      <c r="A190" s="2">
        <v>189</v>
      </c>
      <c r="B190" s="2"/>
      <c r="C190" s="2" t="s">
        <v>2000</v>
      </c>
      <c r="D190" s="2">
        <v>1632</v>
      </c>
      <c r="E190" s="2"/>
    </row>
    <row r="191" spans="1:5" x14ac:dyDescent="0.25">
      <c r="A191" s="2">
        <v>190</v>
      </c>
      <c r="B191" s="2"/>
      <c r="C191" s="2" t="s">
        <v>2001</v>
      </c>
      <c r="D191" s="2">
        <v>1610</v>
      </c>
      <c r="E191" s="2"/>
    </row>
    <row r="192" spans="1:5" x14ac:dyDescent="0.25">
      <c r="A192" s="2">
        <v>191</v>
      </c>
      <c r="B192" s="2">
        <v>176</v>
      </c>
      <c r="C192" s="2" t="s">
        <v>553</v>
      </c>
      <c r="D192" s="2">
        <v>1604</v>
      </c>
      <c r="E192" s="2"/>
    </row>
    <row r="193" spans="1:5" x14ac:dyDescent="0.25">
      <c r="A193" s="2">
        <v>192</v>
      </c>
      <c r="B193" s="2">
        <v>177</v>
      </c>
      <c r="C193" s="2" t="s">
        <v>959</v>
      </c>
      <c r="D193" s="2">
        <v>1601</v>
      </c>
      <c r="E193" s="2"/>
    </row>
    <row r="194" spans="1:5" x14ac:dyDescent="0.25">
      <c r="A194" s="2">
        <v>193</v>
      </c>
      <c r="B194" s="2">
        <v>178</v>
      </c>
      <c r="C194" s="2" t="s">
        <v>580</v>
      </c>
      <c r="D194" s="2">
        <v>1597</v>
      </c>
      <c r="E194" s="2"/>
    </row>
    <row r="195" spans="1:5" ht="30" x14ac:dyDescent="0.25">
      <c r="A195" s="2">
        <v>194</v>
      </c>
      <c r="B195" s="2">
        <v>179</v>
      </c>
      <c r="C195" s="2" t="s">
        <v>815</v>
      </c>
      <c r="D195" s="2">
        <v>1584</v>
      </c>
      <c r="E195" s="2"/>
    </row>
    <row r="196" spans="1:5" x14ac:dyDescent="0.25">
      <c r="A196" s="2">
        <v>195</v>
      </c>
      <c r="B196" s="2">
        <v>180</v>
      </c>
      <c r="C196" s="2" t="s">
        <v>508</v>
      </c>
      <c r="D196" s="2">
        <v>1584</v>
      </c>
      <c r="E196" s="2"/>
    </row>
    <row r="197" spans="1:5" ht="30" x14ac:dyDescent="0.25">
      <c r="A197" s="2">
        <v>196</v>
      </c>
      <c r="B197" s="2">
        <v>181</v>
      </c>
      <c r="C197" s="2" t="s">
        <v>677</v>
      </c>
      <c r="D197" s="2">
        <v>1579</v>
      </c>
      <c r="E197" s="2"/>
    </row>
    <row r="198" spans="1:5" ht="30" x14ac:dyDescent="0.25">
      <c r="A198" s="2">
        <v>197</v>
      </c>
      <c r="B198" s="2">
        <v>182</v>
      </c>
      <c r="C198" s="2" t="s">
        <v>756</v>
      </c>
      <c r="D198" s="2">
        <v>1571</v>
      </c>
      <c r="E198" s="2"/>
    </row>
    <row r="199" spans="1:5" x14ac:dyDescent="0.25">
      <c r="A199" s="2">
        <v>198</v>
      </c>
      <c r="B199" s="2"/>
      <c r="C199" s="2" t="s">
        <v>2002</v>
      </c>
      <c r="D199" s="2">
        <v>1564</v>
      </c>
      <c r="E199" s="2"/>
    </row>
    <row r="200" spans="1:5" ht="30" x14ac:dyDescent="0.25">
      <c r="A200" s="2">
        <v>199</v>
      </c>
      <c r="B200" s="2">
        <v>183</v>
      </c>
      <c r="C200" s="2" t="s">
        <v>734</v>
      </c>
      <c r="D200" s="2">
        <v>1558</v>
      </c>
      <c r="E200" s="2"/>
    </row>
    <row r="201" spans="1:5" ht="30" x14ac:dyDescent="0.25">
      <c r="A201" s="2">
        <v>200</v>
      </c>
      <c r="B201" s="2">
        <v>184</v>
      </c>
      <c r="C201" s="2" t="s">
        <v>598</v>
      </c>
      <c r="D201" s="2">
        <v>1538</v>
      </c>
      <c r="E201" s="2"/>
    </row>
    <row r="202" spans="1:5" x14ac:dyDescent="0.25">
      <c r="A202" s="2">
        <v>201</v>
      </c>
      <c r="B202" s="2">
        <v>185</v>
      </c>
      <c r="C202" s="2" t="s">
        <v>493</v>
      </c>
      <c r="D202" s="2">
        <v>1536</v>
      </c>
      <c r="E202" s="2"/>
    </row>
    <row r="203" spans="1:5" x14ac:dyDescent="0.25">
      <c r="A203" s="2">
        <v>202</v>
      </c>
      <c r="B203" s="2">
        <v>186</v>
      </c>
      <c r="C203" s="2" t="s">
        <v>752</v>
      </c>
      <c r="D203" s="2">
        <v>1512</v>
      </c>
      <c r="E203" s="2"/>
    </row>
    <row r="204" spans="1:5" ht="30" x14ac:dyDescent="0.25">
      <c r="A204" s="2">
        <v>203</v>
      </c>
      <c r="B204" s="2">
        <v>187</v>
      </c>
      <c r="C204" s="2" t="s">
        <v>2003</v>
      </c>
      <c r="D204" s="2">
        <v>1496</v>
      </c>
      <c r="E204" s="2"/>
    </row>
    <row r="205" spans="1:5" x14ac:dyDescent="0.25">
      <c r="A205" s="2">
        <v>204</v>
      </c>
      <c r="B205" s="2">
        <v>188</v>
      </c>
      <c r="C205" s="2" t="s">
        <v>557</v>
      </c>
      <c r="D205" s="2">
        <v>1496</v>
      </c>
      <c r="E205" s="2"/>
    </row>
    <row r="206" spans="1:5" x14ac:dyDescent="0.25">
      <c r="A206" s="2">
        <v>205</v>
      </c>
      <c r="B206" s="2">
        <v>189</v>
      </c>
      <c r="C206" s="2" t="s">
        <v>674</v>
      </c>
      <c r="D206" s="2">
        <v>1492</v>
      </c>
      <c r="E206" t="s">
        <v>1989</v>
      </c>
    </row>
    <row r="207" spans="1:5" x14ac:dyDescent="0.25">
      <c r="A207" s="2">
        <v>206</v>
      </c>
      <c r="B207" s="2">
        <v>190</v>
      </c>
      <c r="C207" s="2" t="s">
        <v>730</v>
      </c>
      <c r="D207" s="2">
        <v>1479</v>
      </c>
      <c r="E207" t="s">
        <v>2004</v>
      </c>
    </row>
    <row r="208" spans="1:5" x14ac:dyDescent="0.25">
      <c r="A208" s="2">
        <v>207</v>
      </c>
      <c r="B208" s="2">
        <v>191</v>
      </c>
      <c r="C208" s="2" t="s">
        <v>666</v>
      </c>
      <c r="D208" s="2">
        <v>1466</v>
      </c>
      <c r="E208" s="2"/>
    </row>
    <row r="209" spans="1:5" ht="30" x14ac:dyDescent="0.25">
      <c r="A209" s="2">
        <v>208</v>
      </c>
      <c r="B209" s="2"/>
      <c r="C209" s="2" t="s">
        <v>2005</v>
      </c>
      <c r="D209" s="2">
        <v>1466</v>
      </c>
      <c r="E209" s="2"/>
    </row>
    <row r="210" spans="1:5" ht="30" x14ac:dyDescent="0.25">
      <c r="A210" s="2">
        <v>209</v>
      </c>
      <c r="B210" s="2">
        <v>192</v>
      </c>
      <c r="C210" s="2" t="s">
        <v>982</v>
      </c>
      <c r="D210" s="2">
        <v>1450</v>
      </c>
      <c r="E210" s="2"/>
    </row>
    <row r="211" spans="1:5" x14ac:dyDescent="0.25">
      <c r="A211" s="2">
        <v>210</v>
      </c>
      <c r="B211" s="2">
        <v>193</v>
      </c>
      <c r="C211" s="2" t="s">
        <v>890</v>
      </c>
      <c r="D211" s="2">
        <v>1443</v>
      </c>
      <c r="E211" t="s">
        <v>1951</v>
      </c>
    </row>
    <row r="212" spans="1:5" ht="30" x14ac:dyDescent="0.25">
      <c r="A212" s="2">
        <v>211</v>
      </c>
      <c r="B212" s="2">
        <v>194</v>
      </c>
      <c r="C212" s="2" t="s">
        <v>1062</v>
      </c>
      <c r="D212" s="2">
        <v>1420</v>
      </c>
      <c r="E212" s="2"/>
    </row>
    <row r="213" spans="1:5" ht="30" x14ac:dyDescent="0.25">
      <c r="A213" s="2">
        <v>212</v>
      </c>
      <c r="B213" s="2">
        <v>195</v>
      </c>
      <c r="C213" s="2" t="s">
        <v>935</v>
      </c>
      <c r="D213" s="2">
        <v>1417</v>
      </c>
      <c r="E213" s="2"/>
    </row>
    <row r="214" spans="1:5" x14ac:dyDescent="0.25">
      <c r="A214" s="2">
        <v>213</v>
      </c>
      <c r="B214" s="2"/>
      <c r="C214" s="2" t="s">
        <v>2006</v>
      </c>
      <c r="D214" s="2">
        <v>1400</v>
      </c>
      <c r="E214" s="2"/>
    </row>
    <row r="215" spans="1:5" ht="30" x14ac:dyDescent="0.25">
      <c r="A215" s="2">
        <v>214</v>
      </c>
      <c r="B215" s="2"/>
      <c r="C215" s="2" t="s">
        <v>2007</v>
      </c>
      <c r="D215" s="2">
        <v>1400</v>
      </c>
      <c r="E215" s="2"/>
    </row>
    <row r="216" spans="1:5" ht="45" x14ac:dyDescent="0.25">
      <c r="A216" s="2">
        <v>215</v>
      </c>
      <c r="B216" s="2"/>
      <c r="C216" s="2" t="s">
        <v>2008</v>
      </c>
      <c r="D216" s="2">
        <v>1397</v>
      </c>
      <c r="E216" s="2"/>
    </row>
    <row r="217" spans="1:5" x14ac:dyDescent="0.25">
      <c r="A217" s="2">
        <v>216</v>
      </c>
      <c r="B217" s="2">
        <v>196</v>
      </c>
      <c r="C217" s="2" t="s">
        <v>801</v>
      </c>
      <c r="D217" s="2">
        <v>1387</v>
      </c>
      <c r="E217" s="2"/>
    </row>
    <row r="218" spans="1:5" x14ac:dyDescent="0.25">
      <c r="A218" s="2">
        <v>217</v>
      </c>
      <c r="B218" s="2">
        <v>197</v>
      </c>
      <c r="C218" s="2" t="s">
        <v>737</v>
      </c>
      <c r="D218" s="2">
        <v>1377</v>
      </c>
      <c r="E218" s="2"/>
    </row>
    <row r="219" spans="1:5" ht="30" x14ac:dyDescent="0.25">
      <c r="A219" s="2">
        <v>218</v>
      </c>
      <c r="B219" s="2">
        <v>198</v>
      </c>
      <c r="C219" s="2" t="s">
        <v>430</v>
      </c>
      <c r="D219" s="2">
        <v>1377</v>
      </c>
      <c r="E219" s="2"/>
    </row>
    <row r="220" spans="1:5" x14ac:dyDescent="0.25">
      <c r="A220" s="2">
        <v>219</v>
      </c>
      <c r="B220" s="2">
        <v>199</v>
      </c>
      <c r="C220" s="2" t="s">
        <v>424</v>
      </c>
      <c r="D220" s="2">
        <v>1364</v>
      </c>
      <c r="E220" s="2"/>
    </row>
    <row r="221" spans="1:5" x14ac:dyDescent="0.25">
      <c r="A221" s="2">
        <v>220</v>
      </c>
      <c r="B221" s="2">
        <v>200</v>
      </c>
      <c r="C221" s="2" t="s">
        <v>789</v>
      </c>
      <c r="D221" s="2">
        <v>1345</v>
      </c>
      <c r="E221" s="2"/>
    </row>
    <row r="222" spans="1:5" x14ac:dyDescent="0.25">
      <c r="A222" s="2">
        <v>221</v>
      </c>
      <c r="B222" s="2">
        <v>201</v>
      </c>
      <c r="C222" s="2" t="s">
        <v>969</v>
      </c>
      <c r="D222" s="2">
        <v>1328</v>
      </c>
      <c r="E222" s="2"/>
    </row>
    <row r="223" spans="1:5" ht="30" x14ac:dyDescent="0.25">
      <c r="A223" s="2">
        <v>222</v>
      </c>
      <c r="B223" s="2"/>
      <c r="C223" s="2" t="s">
        <v>2009</v>
      </c>
      <c r="D223" s="2">
        <v>1302</v>
      </c>
      <c r="E223" s="2"/>
    </row>
    <row r="224" spans="1:5" x14ac:dyDescent="0.25">
      <c r="A224" s="2">
        <v>223</v>
      </c>
      <c r="B224" s="2">
        <v>202</v>
      </c>
      <c r="C224" s="2" t="s">
        <v>523</v>
      </c>
      <c r="D224" s="2">
        <v>1292</v>
      </c>
      <c r="E224" t="s">
        <v>1992</v>
      </c>
    </row>
    <row r="225" spans="1:5" x14ac:dyDescent="0.25">
      <c r="A225" s="2">
        <v>224</v>
      </c>
      <c r="B225" s="2">
        <v>203</v>
      </c>
      <c r="C225" s="2" t="s">
        <v>953</v>
      </c>
      <c r="D225" s="2">
        <v>1271</v>
      </c>
      <c r="E225" s="2"/>
    </row>
    <row r="226" spans="1:5" x14ac:dyDescent="0.25">
      <c r="A226" s="2">
        <v>225</v>
      </c>
      <c r="B226" s="2">
        <v>204</v>
      </c>
      <c r="C226" s="2" t="s">
        <v>707</v>
      </c>
      <c r="D226" s="2">
        <v>1243</v>
      </c>
      <c r="E226" s="2"/>
    </row>
    <row r="227" spans="1:5" ht="30" x14ac:dyDescent="0.25">
      <c r="A227" s="2">
        <v>226</v>
      </c>
      <c r="B227" s="2"/>
      <c r="C227" s="2" t="s">
        <v>2010</v>
      </c>
      <c r="D227" s="2">
        <v>1230</v>
      </c>
      <c r="E227" s="2"/>
    </row>
    <row r="228" spans="1:5" x14ac:dyDescent="0.25">
      <c r="A228" s="2">
        <v>227</v>
      </c>
      <c r="B228" s="2"/>
      <c r="C228" s="2" t="s">
        <v>2011</v>
      </c>
      <c r="D228" s="2">
        <v>1230</v>
      </c>
      <c r="E228" s="2"/>
    </row>
    <row r="229" spans="1:5" x14ac:dyDescent="0.25">
      <c r="A229" s="2">
        <v>228</v>
      </c>
      <c r="B229" s="2">
        <v>205</v>
      </c>
      <c r="C229" s="2" t="s">
        <v>605</v>
      </c>
      <c r="D229" s="2">
        <v>1223</v>
      </c>
      <c r="E229" s="2"/>
    </row>
    <row r="230" spans="1:5" x14ac:dyDescent="0.25">
      <c r="A230" s="2">
        <v>229</v>
      </c>
      <c r="B230" s="2"/>
      <c r="C230" s="2" t="s">
        <v>2012</v>
      </c>
      <c r="D230" s="2">
        <v>1214</v>
      </c>
      <c r="E230" s="2"/>
    </row>
    <row r="231" spans="1:5" x14ac:dyDescent="0.25">
      <c r="A231" s="2">
        <v>230</v>
      </c>
      <c r="B231" s="2">
        <v>206</v>
      </c>
      <c r="C231" s="2" t="s">
        <v>601</v>
      </c>
      <c r="D231" s="2">
        <v>1207</v>
      </c>
      <c r="E231" t="s">
        <v>1967</v>
      </c>
    </row>
    <row r="232" spans="1:5" ht="30" x14ac:dyDescent="0.25">
      <c r="A232" s="2">
        <v>231</v>
      </c>
      <c r="B232" s="2">
        <v>207</v>
      </c>
      <c r="C232" s="2" t="s">
        <v>1000</v>
      </c>
      <c r="D232" s="2">
        <v>1194</v>
      </c>
      <c r="E232" t="s">
        <v>2013</v>
      </c>
    </row>
    <row r="233" spans="1:5" x14ac:dyDescent="0.25">
      <c r="A233" s="2">
        <v>232</v>
      </c>
      <c r="B233" s="2">
        <v>208</v>
      </c>
      <c r="C233" s="2" t="s">
        <v>1055</v>
      </c>
      <c r="D233" s="2">
        <v>1177</v>
      </c>
      <c r="E233" s="2"/>
    </row>
    <row r="234" spans="1:5" ht="30" x14ac:dyDescent="0.25">
      <c r="A234" s="2">
        <v>233</v>
      </c>
      <c r="B234" s="2">
        <v>209</v>
      </c>
      <c r="C234" s="2" t="s">
        <v>1066</v>
      </c>
      <c r="D234" s="2">
        <v>1164</v>
      </c>
      <c r="E234" t="s">
        <v>1975</v>
      </c>
    </row>
    <row r="235" spans="1:5" x14ac:dyDescent="0.25">
      <c r="A235" s="2">
        <v>234</v>
      </c>
      <c r="B235" s="2">
        <v>210</v>
      </c>
      <c r="C235" s="2" t="s">
        <v>831</v>
      </c>
      <c r="D235" s="2">
        <v>1161</v>
      </c>
      <c r="E235" s="2"/>
    </row>
    <row r="236" spans="1:5" ht="30" x14ac:dyDescent="0.25">
      <c r="A236" s="2">
        <v>235</v>
      </c>
      <c r="B236" s="2"/>
      <c r="C236" s="2" t="s">
        <v>2014</v>
      </c>
      <c r="D236" s="2">
        <v>1131</v>
      </c>
      <c r="E236" s="2"/>
    </row>
    <row r="237" spans="1:5" ht="30" x14ac:dyDescent="0.25">
      <c r="A237" s="2">
        <v>236</v>
      </c>
      <c r="B237" s="2"/>
      <c r="C237" s="2" t="s">
        <v>2015</v>
      </c>
      <c r="D237" s="2">
        <v>1115</v>
      </c>
      <c r="E237" s="2"/>
    </row>
    <row r="238" spans="1:5" ht="30" x14ac:dyDescent="0.25">
      <c r="A238" s="2">
        <v>237</v>
      </c>
      <c r="B238" s="2">
        <v>211</v>
      </c>
      <c r="C238" s="2" t="s">
        <v>805</v>
      </c>
      <c r="D238" s="2">
        <v>1099</v>
      </c>
      <c r="E238" t="s">
        <v>1992</v>
      </c>
    </row>
    <row r="239" spans="1:5" ht="30" x14ac:dyDescent="0.25">
      <c r="A239" s="2">
        <v>238</v>
      </c>
      <c r="B239" s="2"/>
      <c r="C239" s="2" t="s">
        <v>2016</v>
      </c>
      <c r="D239" s="2">
        <v>1099</v>
      </c>
      <c r="E239" s="2"/>
    </row>
    <row r="240" spans="1:5" x14ac:dyDescent="0.25">
      <c r="A240" s="2">
        <v>239</v>
      </c>
      <c r="B240" s="2">
        <v>212</v>
      </c>
      <c r="C240" s="2" t="s">
        <v>662</v>
      </c>
      <c r="D240" s="2">
        <v>1059</v>
      </c>
      <c r="E240" s="2"/>
    </row>
    <row r="241" spans="1:5" ht="30" x14ac:dyDescent="0.25">
      <c r="A241" s="2">
        <v>240</v>
      </c>
      <c r="B241" s="2"/>
      <c r="C241" s="2" t="s">
        <v>2017</v>
      </c>
      <c r="D241" s="2">
        <v>1054</v>
      </c>
      <c r="E241" s="2"/>
    </row>
    <row r="242" spans="1:5" x14ac:dyDescent="0.25">
      <c r="A242" s="2">
        <v>241</v>
      </c>
      <c r="B242" s="2">
        <v>213</v>
      </c>
      <c r="C242" s="2" t="s">
        <v>826</v>
      </c>
      <c r="D242" s="2">
        <v>1040</v>
      </c>
      <c r="E242" s="2"/>
    </row>
    <row r="243" spans="1:5" x14ac:dyDescent="0.25">
      <c r="A243" s="2">
        <v>242</v>
      </c>
      <c r="B243" s="2"/>
      <c r="C243" s="2" t="s">
        <v>2018</v>
      </c>
      <c r="D243" s="2">
        <v>1030</v>
      </c>
      <c r="E243" s="2"/>
    </row>
    <row r="244" spans="1:5" ht="30" x14ac:dyDescent="0.25">
      <c r="A244" s="2">
        <v>243</v>
      </c>
      <c r="B244" s="2"/>
      <c r="C244" s="2" t="s">
        <v>2019</v>
      </c>
      <c r="D244" s="2">
        <v>1017</v>
      </c>
      <c r="E244" s="2"/>
    </row>
    <row r="245" spans="1:5" x14ac:dyDescent="0.25">
      <c r="A245" s="2">
        <v>244</v>
      </c>
      <c r="B245" s="2">
        <v>214</v>
      </c>
      <c r="C245" s="2" t="s">
        <v>723</v>
      </c>
      <c r="D245" s="2">
        <v>951</v>
      </c>
      <c r="E245" s="2"/>
    </row>
  </sheetData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2"/>
  <sheetViews>
    <sheetView workbookViewId="0">
      <selection activeCell="Q25" sqref="Q25"/>
    </sheetView>
  </sheetViews>
  <sheetFormatPr baseColWidth="10" defaultRowHeight="15" x14ac:dyDescent="0.25"/>
  <sheetData>
    <row r="1" spans="1:4" x14ac:dyDescent="0.25">
      <c r="A1" t="s">
        <v>1902</v>
      </c>
      <c r="B1" t="s">
        <v>2020</v>
      </c>
      <c r="C1" t="s">
        <v>2021</v>
      </c>
      <c r="D1" t="s">
        <v>2022</v>
      </c>
    </row>
    <row r="2" spans="1:4" x14ac:dyDescent="0.25">
      <c r="A2" t="s">
        <v>685</v>
      </c>
      <c r="B2">
        <v>3210</v>
      </c>
      <c r="C2">
        <v>978</v>
      </c>
      <c r="D2" t="s">
        <v>2023</v>
      </c>
    </row>
    <row r="3" spans="1:4" x14ac:dyDescent="0.25">
      <c r="A3" t="s">
        <v>717</v>
      </c>
      <c r="B3">
        <v>3162</v>
      </c>
      <c r="C3">
        <v>963</v>
      </c>
      <c r="D3" t="s">
        <v>2024</v>
      </c>
    </row>
    <row r="4" spans="1:4" x14ac:dyDescent="0.25">
      <c r="A4" t="s">
        <v>967</v>
      </c>
      <c r="B4">
        <v>3117</v>
      </c>
      <c r="C4">
        <v>950</v>
      </c>
      <c r="D4" t="s">
        <v>2025</v>
      </c>
    </row>
    <row r="5" spans="1:4" x14ac:dyDescent="0.25">
      <c r="A5" t="s">
        <v>526</v>
      </c>
      <c r="B5">
        <v>3054</v>
      </c>
      <c r="C5">
        <v>930</v>
      </c>
      <c r="D5" t="s">
        <v>2026</v>
      </c>
    </row>
    <row r="6" spans="1:4" x14ac:dyDescent="0.25">
      <c r="A6" t="s">
        <v>1883</v>
      </c>
      <c r="B6">
        <v>2960</v>
      </c>
      <c r="C6">
        <v>902</v>
      </c>
      <c r="D6" t="s">
        <v>2027</v>
      </c>
    </row>
    <row r="7" spans="1:4" x14ac:dyDescent="0.25">
      <c r="A7" t="s">
        <v>569</v>
      </c>
      <c r="B7">
        <v>2949</v>
      </c>
      <c r="C7">
        <v>898</v>
      </c>
      <c r="D7" t="s">
        <v>2028</v>
      </c>
    </row>
    <row r="8" spans="1:4" x14ac:dyDescent="0.25">
      <c r="A8" t="s">
        <v>720</v>
      </c>
      <c r="B8">
        <v>2927</v>
      </c>
      <c r="C8">
        <v>892</v>
      </c>
      <c r="D8" t="s">
        <v>2029</v>
      </c>
    </row>
    <row r="9" spans="1:4" x14ac:dyDescent="0.25">
      <c r="A9" t="s">
        <v>427</v>
      </c>
      <c r="B9">
        <v>2863</v>
      </c>
      <c r="C9">
        <v>872</v>
      </c>
      <c r="D9" t="s">
        <v>2030</v>
      </c>
    </row>
    <row r="10" spans="1:4" x14ac:dyDescent="0.25">
      <c r="A10" t="s">
        <v>1040</v>
      </c>
      <c r="B10">
        <v>2847</v>
      </c>
      <c r="C10">
        <v>867</v>
      </c>
      <c r="D10" t="s">
        <v>2031</v>
      </c>
    </row>
    <row r="11" spans="1:4" x14ac:dyDescent="0.25">
      <c r="A11" t="s">
        <v>1019</v>
      </c>
      <c r="B11">
        <v>2816</v>
      </c>
      <c r="C11">
        <v>858</v>
      </c>
      <c r="D11" t="s">
        <v>2032</v>
      </c>
    </row>
    <row r="12" spans="1:4" x14ac:dyDescent="0.25">
      <c r="A12" t="s">
        <v>863</v>
      </c>
      <c r="B12">
        <v>2718</v>
      </c>
      <c r="C12">
        <v>828</v>
      </c>
      <c r="D12" t="s">
        <v>2033</v>
      </c>
    </row>
    <row r="13" spans="1:4" x14ac:dyDescent="0.25">
      <c r="A13" t="s">
        <v>1025</v>
      </c>
      <c r="B13">
        <v>2687</v>
      </c>
      <c r="C13">
        <v>818</v>
      </c>
      <c r="D13" t="s">
        <v>2034</v>
      </c>
    </row>
    <row r="14" spans="1:4" x14ac:dyDescent="0.25">
      <c r="A14" t="s">
        <v>501</v>
      </c>
      <c r="B14">
        <v>2644</v>
      </c>
      <c r="C14">
        <v>806</v>
      </c>
      <c r="D14" t="s">
        <v>2035</v>
      </c>
    </row>
    <row r="15" spans="1:4" x14ac:dyDescent="0.25">
      <c r="A15" t="s">
        <v>1934</v>
      </c>
      <c r="B15">
        <v>2635</v>
      </c>
      <c r="C15">
        <v>803</v>
      </c>
      <c r="D15" t="s">
        <v>2036</v>
      </c>
    </row>
    <row r="16" spans="1:4" x14ac:dyDescent="0.25">
      <c r="A16" t="s">
        <v>786</v>
      </c>
      <c r="B16">
        <v>2593</v>
      </c>
      <c r="C16">
        <v>790</v>
      </c>
      <c r="D16" t="s">
        <v>2037</v>
      </c>
    </row>
    <row r="17" spans="1:4" x14ac:dyDescent="0.25">
      <c r="A17" t="s">
        <v>793</v>
      </c>
      <c r="B17">
        <v>2560</v>
      </c>
      <c r="C17">
        <v>780</v>
      </c>
      <c r="D17" t="s">
        <v>2038</v>
      </c>
    </row>
    <row r="18" spans="1:4" x14ac:dyDescent="0.25">
      <c r="A18" t="s">
        <v>413</v>
      </c>
      <c r="B18">
        <v>2553</v>
      </c>
      <c r="C18">
        <v>778</v>
      </c>
      <c r="D18" t="s">
        <v>2039</v>
      </c>
    </row>
    <row r="19" spans="1:4" x14ac:dyDescent="0.25">
      <c r="A19" t="s">
        <v>846</v>
      </c>
      <c r="B19">
        <v>2547</v>
      </c>
      <c r="C19">
        <v>776</v>
      </c>
      <c r="D19" t="s">
        <v>2040</v>
      </c>
    </row>
    <row r="20" spans="1:4" x14ac:dyDescent="0.25">
      <c r="A20" t="s">
        <v>545</v>
      </c>
      <c r="B20">
        <v>2502</v>
      </c>
      <c r="C20">
        <v>762</v>
      </c>
      <c r="D20" t="s">
        <v>2041</v>
      </c>
    </row>
    <row r="21" spans="1:4" x14ac:dyDescent="0.25">
      <c r="A21" t="s">
        <v>748</v>
      </c>
      <c r="B21">
        <v>2479</v>
      </c>
      <c r="C21">
        <v>755</v>
      </c>
      <c r="D21" t="s">
        <v>2042</v>
      </c>
    </row>
    <row r="22" spans="1:4" x14ac:dyDescent="0.25">
      <c r="A22" t="s">
        <v>1049</v>
      </c>
      <c r="B22">
        <v>2417</v>
      </c>
      <c r="C22">
        <v>736</v>
      </c>
      <c r="D22" t="s">
        <v>2043</v>
      </c>
    </row>
    <row r="23" spans="1:4" x14ac:dyDescent="0.25">
      <c r="A23" t="s">
        <v>546</v>
      </c>
      <c r="B23">
        <v>2403</v>
      </c>
      <c r="C23">
        <v>732</v>
      </c>
      <c r="D23" t="s">
        <v>2044</v>
      </c>
    </row>
    <row r="24" spans="1:4" x14ac:dyDescent="0.25">
      <c r="A24" t="s">
        <v>1887</v>
      </c>
      <c r="B24">
        <v>2129</v>
      </c>
      <c r="C24">
        <v>649</v>
      </c>
      <c r="D24" t="s">
        <v>2045</v>
      </c>
    </row>
    <row r="25" spans="1:4" x14ac:dyDescent="0.25">
      <c r="A25" t="s">
        <v>744</v>
      </c>
      <c r="B25">
        <v>2035</v>
      </c>
      <c r="C25">
        <v>620</v>
      </c>
      <c r="D25" t="s">
        <v>2046</v>
      </c>
    </row>
    <row r="26" spans="1:4" x14ac:dyDescent="0.25">
      <c r="A26" t="s">
        <v>894</v>
      </c>
      <c r="B26">
        <v>1959</v>
      </c>
      <c r="C26">
        <v>597</v>
      </c>
      <c r="D26" t="s">
        <v>2047</v>
      </c>
    </row>
    <row r="27" spans="1:4" x14ac:dyDescent="0.25">
      <c r="A27" t="s">
        <v>2048</v>
      </c>
      <c r="B27">
        <v>1530</v>
      </c>
      <c r="C27">
        <v>466</v>
      </c>
      <c r="D27" t="s">
        <v>2049</v>
      </c>
    </row>
    <row r="28" spans="1:4" x14ac:dyDescent="0.25">
      <c r="A28" t="s">
        <v>1895</v>
      </c>
      <c r="B28">
        <v>1481</v>
      </c>
      <c r="C28">
        <v>451</v>
      </c>
      <c r="D28" t="s">
        <v>2050</v>
      </c>
    </row>
    <row r="29" spans="1:4" x14ac:dyDescent="0.25">
      <c r="A29" t="s">
        <v>969</v>
      </c>
      <c r="B29">
        <v>1299</v>
      </c>
      <c r="C29">
        <v>396</v>
      </c>
      <c r="D29" t="s">
        <v>2049</v>
      </c>
    </row>
    <row r="30" spans="1:4" x14ac:dyDescent="0.25">
      <c r="A30" t="s">
        <v>707</v>
      </c>
      <c r="B30">
        <v>1234</v>
      </c>
      <c r="C30">
        <v>376</v>
      </c>
      <c r="D30" t="s">
        <v>2051</v>
      </c>
    </row>
    <row r="31" spans="1:4" x14ac:dyDescent="0.25">
      <c r="A31" t="s">
        <v>805</v>
      </c>
      <c r="B31">
        <v>1101</v>
      </c>
      <c r="C31">
        <v>336</v>
      </c>
      <c r="D31" t="s">
        <v>2052</v>
      </c>
    </row>
    <row r="32" spans="1:4" x14ac:dyDescent="0.25">
      <c r="A32" t="s">
        <v>723</v>
      </c>
      <c r="B32">
        <v>980</v>
      </c>
      <c r="C32">
        <v>299</v>
      </c>
      <c r="D32" t="s">
        <v>2053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24</vt:i4>
      </vt:variant>
      <vt:variant>
        <vt:lpstr>Benannte Bereiche</vt:lpstr>
      </vt:variant>
      <vt:variant>
        <vt:i4>1</vt:i4>
      </vt:variant>
    </vt:vector>
  </HeadingPairs>
  <TitlesOfParts>
    <vt:vector size="25" baseType="lpstr">
      <vt:lpstr>Unconstrained Search Scores</vt:lpstr>
      <vt:lpstr>Correlation Matrices</vt:lpstr>
      <vt:lpstr>Tables to extend</vt:lpstr>
      <vt:lpstr>ExtendedTable0,6 - Airports</vt:lpstr>
      <vt:lpstr>ExtendedTable0,6 - Lakes</vt:lpstr>
      <vt:lpstr>ExtendedTable0,6 - Journals</vt:lpstr>
      <vt:lpstr>ExtendedTable0,6 - Museums</vt:lpstr>
      <vt:lpstr>ExtendedTable0,6 - Mountains</vt:lpstr>
      <vt:lpstr>ExtendedTable0,6 - Parties</vt:lpstr>
      <vt:lpstr>ExtendedTable0,8 - Lakes</vt:lpstr>
      <vt:lpstr>ExtendedTable0,8 - Museums</vt:lpstr>
      <vt:lpstr>ExtendedTable0,8 - Mountains</vt:lpstr>
      <vt:lpstr>ExtendedTable0,8 - Parties</vt:lpstr>
      <vt:lpstr> </vt:lpstr>
      <vt:lpstr>Additional Data - Lakes1</vt:lpstr>
      <vt:lpstr>Additional Data - Lakes2</vt:lpstr>
      <vt:lpstr>Additional Data - Lakes3</vt:lpstr>
      <vt:lpstr>Additional Data - Lakes4</vt:lpstr>
      <vt:lpstr>Additional Data - Museums1</vt:lpstr>
      <vt:lpstr>Additional Data - Museums2</vt:lpstr>
      <vt:lpstr>Additional Data - Museums3</vt:lpstr>
      <vt:lpstr>Additional Data - Fells</vt:lpstr>
      <vt:lpstr>Additional Data - Fells2</vt:lpstr>
      <vt:lpstr>Additional Data - Fells3</vt:lpstr>
      <vt:lpstr>'Correlation Matrices'!Druckbereich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Windows-Benutzer</dc:creator>
  <cp:lastModifiedBy>Windows-Benutzer</cp:lastModifiedBy>
  <cp:lastPrinted>2018-03-14T09:52:07Z</cp:lastPrinted>
  <dcterms:created xsi:type="dcterms:W3CDTF">2018-02-28T10:35:47Z</dcterms:created>
  <dcterms:modified xsi:type="dcterms:W3CDTF">2018-04-09T08:42:19Z</dcterms:modified>
</cp:coreProperties>
</file>